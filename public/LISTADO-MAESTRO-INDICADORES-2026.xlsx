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18666EAD-8CB6-47FC-BBD2-45CA626C9450}" xr6:coauthVersionLast="47" xr6:coauthVersionMax="47" xr10:uidLastSave="{00000000-0000-0000-0000-000000000000}"/>
  <bookViews>
    <workbookView xWindow="-108" yWindow="-108" windowWidth="23256" windowHeight="12456" xr2:uid="{00000000-000D-0000-FFFF-FFFF00000000}"/>
  </bookViews>
  <sheets>
    <sheet name="Hoja 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D159" i="1" l="1"/>
  <c r="AR159" i="1"/>
  <c r="AF159" i="1"/>
  <c r="BD158" i="1"/>
  <c r="AR158" i="1"/>
  <c r="AF158" i="1"/>
  <c r="BD157" i="1"/>
  <c r="AR157" i="1"/>
  <c r="AF157" i="1"/>
  <c r="BD156" i="1"/>
  <c r="AR156" i="1"/>
  <c r="AF156" i="1"/>
  <c r="BD155" i="1"/>
  <c r="AR155" i="1"/>
  <c r="AF155" i="1"/>
  <c r="BD154" i="1"/>
  <c r="AR154" i="1"/>
  <c r="AF154" i="1"/>
  <c r="BD153" i="1"/>
  <c r="AF153" i="1"/>
  <c r="BD152" i="1"/>
  <c r="AR152" i="1"/>
  <c r="AF152" i="1"/>
  <c r="BD144" i="1"/>
  <c r="AR144" i="1"/>
  <c r="AF144" i="1"/>
  <c r="BD143" i="1"/>
  <c r="AR143" i="1"/>
  <c r="AF143" i="1"/>
  <c r="BD142" i="1"/>
  <c r="AR142" i="1"/>
  <c r="AF142" i="1"/>
  <c r="BD141" i="1"/>
  <c r="AR141" i="1"/>
  <c r="AF141" i="1"/>
  <c r="BD140" i="1"/>
  <c r="AR140" i="1"/>
  <c r="AF140" i="1"/>
  <c r="BD138" i="1"/>
  <c r="AR138" i="1"/>
  <c r="AF138" i="1"/>
  <c r="BD136" i="1"/>
  <c r="AR136" i="1"/>
  <c r="AF136" i="1"/>
  <c r="BD135" i="1"/>
  <c r="AR135" i="1"/>
  <c r="AF135" i="1"/>
  <c r="AR133" i="1"/>
  <c r="AF133" i="1"/>
  <c r="BD132" i="1"/>
  <c r="AR132" i="1"/>
  <c r="AF132" i="1"/>
  <c r="BD131" i="1"/>
  <c r="AR131" i="1"/>
  <c r="AF131" i="1"/>
  <c r="BD126" i="1"/>
  <c r="AR126" i="1"/>
  <c r="AF126" i="1"/>
  <c r="AR124" i="1"/>
  <c r="BD123" i="1"/>
  <c r="AR123" i="1"/>
  <c r="AF123" i="1"/>
  <c r="BD122" i="1"/>
  <c r="AR122" i="1"/>
  <c r="AF122" i="1"/>
  <c r="BD121" i="1"/>
  <c r="AR121" i="1"/>
  <c r="AF121" i="1"/>
  <c r="AF117" i="1"/>
  <c r="BD116" i="1"/>
  <c r="AR116" i="1"/>
  <c r="AF116" i="1"/>
  <c r="BD115" i="1"/>
  <c r="AR115" i="1"/>
  <c r="Z115" i="1"/>
  <c r="AF115" i="1" s="1"/>
  <c r="Y115" i="1"/>
  <c r="BD113" i="1"/>
  <c r="AR113" i="1"/>
  <c r="AF113" i="1"/>
  <c r="BD112" i="1"/>
  <c r="AR112" i="1"/>
  <c r="AF112" i="1"/>
  <c r="BD111" i="1"/>
  <c r="AR111" i="1"/>
  <c r="AF111" i="1"/>
  <c r="V111" i="1"/>
  <c r="BD109" i="1"/>
  <c r="AR109" i="1"/>
  <c r="AF109" i="1"/>
  <c r="AX106" i="1"/>
  <c r="BD106" i="1" s="1"/>
  <c r="AW106" i="1"/>
  <c r="AL106" i="1"/>
  <c r="AR106" i="1" s="1"/>
  <c r="AK106" i="1"/>
  <c r="AF106" i="1"/>
  <c r="Z106" i="1"/>
  <c r="Y106" i="1"/>
  <c r="BD105" i="1"/>
  <c r="AR105" i="1"/>
  <c r="Z105" i="1"/>
  <c r="Y105" i="1"/>
  <c r="AF105" i="1" s="1"/>
  <c r="BD99" i="1"/>
  <c r="AR99" i="1"/>
  <c r="AF99" i="1"/>
  <c r="BD98" i="1"/>
  <c r="AR98" i="1"/>
  <c r="AF98" i="1"/>
  <c r="BD97" i="1"/>
  <c r="AR97" i="1"/>
  <c r="AF97" i="1"/>
  <c r="BD96" i="1"/>
  <c r="AR96" i="1"/>
  <c r="BD95" i="1"/>
  <c r="AR95" i="1"/>
  <c r="AF95" i="1"/>
  <c r="AR92" i="1"/>
  <c r="AF92" i="1"/>
  <c r="AR91" i="1"/>
  <c r="Y91" i="1"/>
  <c r="AF91" i="1" s="1"/>
  <c r="AR90" i="1"/>
  <c r="AF90" i="1"/>
  <c r="BD88" i="1"/>
  <c r="AR88" i="1"/>
  <c r="BD87" i="1"/>
  <c r="AR87" i="1"/>
  <c r="AF87" i="1"/>
  <c r="AR86" i="1"/>
  <c r="AF86" i="1"/>
  <c r="BP82" i="1"/>
  <c r="BD82" i="1"/>
  <c r="AR82" i="1"/>
  <c r="AF82" i="1"/>
  <c r="BP81" i="1"/>
  <c r="BD81" i="1"/>
  <c r="AR81" i="1"/>
  <c r="AF81" i="1"/>
  <c r="BP80" i="1"/>
  <c r="BD80" i="1"/>
  <c r="AR80" i="1"/>
  <c r="AF80" i="1"/>
  <c r="BP79" i="1"/>
  <c r="BD79" i="1"/>
  <c r="AR79" i="1"/>
  <c r="Z79" i="1"/>
  <c r="Y79" i="1"/>
  <c r="AF79" i="1" s="1"/>
  <c r="BP78" i="1"/>
  <c r="BD78" i="1"/>
  <c r="AR78" i="1"/>
  <c r="BP77" i="1"/>
  <c r="BD77" i="1"/>
  <c r="BP76" i="1"/>
  <c r="BD76" i="1"/>
  <c r="AR76" i="1"/>
  <c r="AF76" i="1"/>
  <c r="BP75" i="1"/>
  <c r="BP74" i="1"/>
  <c r="BD74" i="1"/>
  <c r="AR74" i="1"/>
  <c r="AF74" i="1"/>
  <c r="BP73" i="1"/>
  <c r="BD73" i="1"/>
  <c r="AR73" i="1"/>
  <c r="AF73" i="1"/>
  <c r="BD60" i="1"/>
  <c r="AR60" i="1"/>
  <c r="AF60" i="1"/>
  <c r="AR59" i="1"/>
  <c r="AF59" i="1"/>
  <c r="BP49" i="1"/>
  <c r="BD49" i="1"/>
  <c r="AR49" i="1"/>
  <c r="AF49" i="1"/>
  <c r="BP46" i="1"/>
  <c r="BD46" i="1"/>
  <c r="AR46" i="1"/>
  <c r="AF46" i="1"/>
  <c r="BP45" i="1"/>
  <c r="BD45" i="1"/>
  <c r="AR45" i="1"/>
  <c r="AF45" i="1"/>
  <c r="BD41" i="1"/>
  <c r="AR41" i="1"/>
  <c r="AF41" i="1"/>
  <c r="BP40" i="1"/>
  <c r="BD40" i="1"/>
  <c r="AR40" i="1"/>
  <c r="AF40" i="1"/>
  <c r="BP37" i="1"/>
  <c r="BD37" i="1"/>
  <c r="AR37" i="1"/>
  <c r="AF37" i="1"/>
  <c r="BP29" i="1"/>
  <c r="BD29" i="1"/>
  <c r="AR29" i="1"/>
  <c r="AF29" i="1"/>
  <c r="BP27" i="1"/>
  <c r="BD27" i="1"/>
  <c r="AR27" i="1"/>
  <c r="AF27" i="1"/>
  <c r="BP26" i="1"/>
  <c r="BD26" i="1"/>
  <c r="AR26" i="1"/>
  <c r="AF26" i="1"/>
  <c r="BP20" i="1"/>
  <c r="BD20" i="1"/>
  <c r="AR20" i="1"/>
  <c r="AF20" i="1"/>
  <c r="BP19" i="1"/>
  <c r="BD19" i="1"/>
  <c r="AR19" i="1"/>
  <c r="AF19" i="1"/>
  <c r="BP18" i="1"/>
  <c r="BD18" i="1"/>
  <c r="AR18" i="1"/>
  <c r="AF18" i="1"/>
  <c r="BP17" i="1"/>
  <c r="BD17" i="1"/>
  <c r="AR17" i="1"/>
  <c r="AF17" i="1"/>
  <c r="BP16" i="1"/>
  <c r="BD16" i="1"/>
  <c r="AR16" i="1"/>
  <c r="AF16" i="1"/>
  <c r="BP15" i="1"/>
  <c r="BD15" i="1"/>
  <c r="AR15" i="1"/>
  <c r="AF15" i="1"/>
  <c r="BP13" i="1"/>
  <c r="BD13" i="1"/>
  <c r="AR13" i="1"/>
  <c r="AF13" i="1"/>
  <c r="BP12" i="1"/>
  <c r="BD12" i="1"/>
  <c r="AR12" i="1"/>
  <c r="AF12" i="1"/>
  <c r="BP9" i="1"/>
  <c r="BD9" i="1"/>
  <c r="AR9" i="1"/>
  <c r="AF9" i="1"/>
  <c r="BP8" i="1"/>
  <c r="BD8" i="1"/>
  <c r="AR8" i="1"/>
  <c r="AF8" i="1"/>
  <c r="BP7" i="1"/>
  <c r="BD7" i="1"/>
  <c r="AR7" i="1"/>
  <c r="AF7" i="1"/>
  <c r="BP4" i="1"/>
  <c r="BD4" i="1"/>
  <c r="AR4" i="1"/>
  <c r="AF4" i="1"/>
  <c r="BP3" i="1"/>
  <c r="BD3" i="1"/>
  <c r="AR3" i="1"/>
  <c r="AF3" i="1"/>
  <c r="BP2" i="1"/>
  <c r="BD2" i="1"/>
  <c r="AR2" i="1"/>
  <c r="AF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tc={416dc57d-3490-4b54-a1b1-f47ac3d4593d}</author>
    <author>tc={706d0440-f7f0-4d23-924b-ff8a9c66a991}</author>
    <author>tc={5e43ff1c-fd76-4b9f-a8b7-664337f9a1f0}</author>
    <author>tc={3039765a-7624-422d-a34e-65a9be69a787}</author>
    <author>tc={6aebbe77-832b-4376-844e-f6764cc63a0e}</author>
  </authors>
  <commentList>
    <comment ref="W81" authorId="0" shapeId="0" xr:uid="{416DC57D-3490-4B54-A1B1-F47AC3D4593D}">
      <text>
        <t>[Comentario encadenado]
Su versión de Excel le permite leer este comentario encadenado; sin embargo, las ediciones que se apliquen se quitarán si el archivo se abre en una versión más reciente de Excel. Más información: https://go.microsoft.com/fwlink/?linkid=870924
Comentario:
    No registra meta</t>
      </text>
    </comment>
    <comment ref="J82" authorId="1" shapeId="0" xr:uid="{706D0440-F7F0-4D23-924B-FF8A9C66A991}">
      <text>
        <t>[Comentario encadenado]
Su versión de Excel le permite leer este comentario encadenado; sin embargo, las ediciones que se apliquen se quitarán si el archivo se abre en una versión más reciente de Excel. Más información: https://go.microsoft.com/fwlink/?linkid=870924
Comentario:
    NO cuenta con definición operativa</t>
      </text>
    </comment>
    <comment ref="H83" authorId="2" shapeId="0" xr:uid="{5E43FF1C-FD76-4B9F-A8B7-664337F9A1F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Reporte Cuantitativo de esta ficha se empezará a reportar una vez inicien los recorridos de cada Unidad Móvil (fecha tentativa 01 julio 2026).</t>
      </text>
    </comment>
    <comment ref="H86" authorId="3" shapeId="0" xr:uid="{3039765A-7624-422D-A34E-65A9BE69A787}">
      <text>
        <t>[Comentario encadenado]
Su versión de Excel le permite leer este comentario encadenado; sin embargo, las ediciones que se apliquen se quitarán si el archivo se abre en una versión más reciente de Excel. Más información: https://go.microsoft.com/fwlink/?linkid=870924
Comentario:
    Se reporta información acumulada enero, Marzo</t>
      </text>
    </comment>
    <comment ref="H90" authorId="4" shapeId="0" xr:uid="{6AEBBE77-832B-4376-844E-F6764CC63A0E}">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reporte de variable</t>
      </text>
    </comment>
  </commentList>
</comments>
</file>

<file path=xl/sharedStrings.xml><?xml version="1.0" encoding="utf-8"?>
<sst xmlns="http://schemas.openxmlformats.org/spreadsheetml/2006/main" count="2944" uniqueCount="1746">
  <si>
    <t>No</t>
  </si>
  <si>
    <t>Línea estratégica</t>
  </si>
  <si>
    <t xml:space="preserve">Resultado Estratégico	</t>
  </si>
  <si>
    <t>Producto PAI</t>
  </si>
  <si>
    <t xml:space="preserve">Dependencia responsable	</t>
  </si>
  <si>
    <t xml:space="preserve">Responsables asociados	</t>
  </si>
  <si>
    <t xml:space="preserve">Número del indicador	</t>
  </si>
  <si>
    <t>Nombre del indicador</t>
  </si>
  <si>
    <t xml:space="preserve">Objetivo	</t>
  </si>
  <si>
    <t xml:space="preserve">Definición Operativa	</t>
  </si>
  <si>
    <t>Fórmula de indicador</t>
  </si>
  <si>
    <t>Variable 1</t>
  </si>
  <si>
    <t>Variable 2</t>
  </si>
  <si>
    <t>Variable 3</t>
  </si>
  <si>
    <t>Variable 4</t>
  </si>
  <si>
    <t>Variable 5</t>
  </si>
  <si>
    <t>Variable 6</t>
  </si>
  <si>
    <t>Variable 7</t>
  </si>
  <si>
    <t xml:space="preserve">Periodicidad	</t>
  </si>
  <si>
    <t xml:space="preserve">Unidad de medida	</t>
  </si>
  <si>
    <t>Fuente de información</t>
  </si>
  <si>
    <t xml:space="preserve">Línea base 
Acumulado 2024-2025	</t>
  </si>
  <si>
    <t xml:space="preserve">Meta anual 2026	</t>
  </si>
  <si>
    <t>Estado 2026</t>
  </si>
  <si>
    <t>Variable 1
Enero - Febrero</t>
  </si>
  <si>
    <t>Variable 2
Enero - Febrero</t>
  </si>
  <si>
    <t>Variable 3
Enero - Febrero</t>
  </si>
  <si>
    <t>Variable 4
Enero - Febrero</t>
  </si>
  <si>
    <t>Variable 5
Enero - Febrero</t>
  </si>
  <si>
    <t>Variable 6
Enero - Febrero</t>
  </si>
  <si>
    <t>Variable 7
Enero - Febrero</t>
  </si>
  <si>
    <t>Fórmula
Enero - Febrero</t>
  </si>
  <si>
    <t>Análisis cualitativo del comportamiento del indicador</t>
  </si>
  <si>
    <t>Principales logros y dificultades del periodo</t>
  </si>
  <si>
    <t>Observaciones</t>
  </si>
  <si>
    <t>Observaciones OAP
Enero - Febrero</t>
  </si>
  <si>
    <t xml:space="preserve">Variable 1
Marzo
</t>
  </si>
  <si>
    <t>Variable 2
Marzo</t>
  </si>
  <si>
    <t>Variable 3
Marzo</t>
  </si>
  <si>
    <t>Variable 4
Marzo</t>
  </si>
  <si>
    <t>Variable 5
Marzo</t>
  </si>
  <si>
    <t>Variable 6
Marzo</t>
  </si>
  <si>
    <t>Variable 7
Marzo</t>
  </si>
  <si>
    <t>Fórmula
Marzo</t>
  </si>
  <si>
    <t>Análisis cualitativo del comportamiento del indicador 2</t>
  </si>
  <si>
    <t>Principales logros y dificultades del periodo 2</t>
  </si>
  <si>
    <t>Observaciones 2</t>
  </si>
  <si>
    <t>Observaciones OAP
Marzo</t>
  </si>
  <si>
    <t>Variable 1
Abril</t>
  </si>
  <si>
    <t>Variable 2
Abril</t>
  </si>
  <si>
    <t>Variable 3
Abril</t>
  </si>
  <si>
    <t>Variable 4
Abril</t>
  </si>
  <si>
    <t>Variable 5
Abril</t>
  </si>
  <si>
    <t>Variable 6
Abril</t>
  </si>
  <si>
    <t>Variable 7
Abril</t>
  </si>
  <si>
    <t>Fórmula
Abril</t>
  </si>
  <si>
    <t>Análisis cualitativo del comportamiento del indicador 3</t>
  </si>
  <si>
    <t>Principales logros y dificultades del periodo 3</t>
  </si>
  <si>
    <t>Observaciones 3</t>
  </si>
  <si>
    <t>Observaciones OAP
Abril</t>
  </si>
  <si>
    <t>Variable 1
Mayo</t>
  </si>
  <si>
    <t>Variable 2
Mayo</t>
  </si>
  <si>
    <t>Variable 3
Mayo</t>
  </si>
  <si>
    <t>Variable 4
Mayo</t>
  </si>
  <si>
    <t>Variable 5
Mayo</t>
  </si>
  <si>
    <t>Variable 6
Mayo</t>
  </si>
  <si>
    <t>Variable 7
Mayo</t>
  </si>
  <si>
    <t>Fórmula
Mayo</t>
  </si>
  <si>
    <t>Análisis cualitativo del comportamiento del indicador 4</t>
  </si>
  <si>
    <t>Principales logros y dificultades del periodo 4</t>
  </si>
  <si>
    <t>Observaciones 4</t>
  </si>
  <si>
    <t>Observaciones OAP
Mayo</t>
  </si>
  <si>
    <t xml:space="preserve">Línea 1. Investigación Humanitaria y Extrajudicial (Gestión de información e Investigación para la Búsqueda)								</t>
  </si>
  <si>
    <t>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t>
  </si>
  <si>
    <t>Subdirección Técnica de Investigación Humanitaria</t>
  </si>
  <si>
    <t>Grupo Interno de Trabajo de Ciencias de Datos para la Búsqueda</t>
  </si>
  <si>
    <t>L1-IAHE-001</t>
  </si>
  <si>
    <t>Avance acciones de mejora en la calidad del dato del RNFCIS</t>
  </si>
  <si>
    <t>Medir y hacer seguimiento al avance en la implementación de acciones de mejora orientadas a corregir los registros con inconsistencias de calidad identificadas en el RNFCIS, con base en los reportes de control de calidad generados.</t>
  </si>
  <si>
    <t>Este indicador expresa el porcentaje de registros del RNFCIS que, habiendo sido identificados con inconsistencias de calidad en los ejercicios de control de calidad, presentan correcciones aplicadas durante el periodo de medición.
Se calcula como la relación entre el Numerador (V1t) (registros corregidos en el periodo, asociados a acciones de mejora derivadas de hallazgos de calidad) y el Denominador (V2t) (total de registros con inconsistencias detectadas en el mismo periodo o corte definido por los reportes). El resultado se reporta como porcentaje, con periodicidad mensual, a partir de los reportes de control de calidad y los soportes de seguimiento de correcciones.</t>
  </si>
  <si>
    <t>(V1t/V2t)*100</t>
  </si>
  <si>
    <t>Número de registros corregidos</t>
  </si>
  <si>
    <t>Total de registros inconsistentes detectados</t>
  </si>
  <si>
    <t xml:space="preserve">Mensual	</t>
  </si>
  <si>
    <t>Porcentaje</t>
  </si>
  <si>
    <t>Registro Nacional de Fosas, Cementerios Ilegales y Sepulturas - Módulo en BUSQUEMOS</t>
  </si>
  <si>
    <t>Activo</t>
  </si>
  <si>
    <t>El indicador se ha definido mediante la generacion de 68 Querys SQL, que evalua diversos elementos fundamentales de los registros. al ejecutar estas nuevas consultas se ha presentado un incremento dada la afinación y ampliación de criterios de control da calidad,  más detallados que permitieron evaluar 68 elementos relacionales, temáticos y posicionales de manera más amplia en los registros presentes, es importante tener en cuenta que aún persiste fallas en el instrumento de captura de información, generando el aumento sistemáticos de inconsistencias conforme se avanza en la alimentación del registro .En cuanto a abordaje de las inconsistencias, se menciona que se focalizó en elementos posicionales y atributivos esenciales.</t>
  </si>
  <si>
    <t>Se logro dar continuidad al borgadaje de las inconsistencias, pese al proceso de contratacion que se desarrollaba en para el periodo de Enero, asi mismo el proceso de re estructuracion afecto la designacion de los profesionales acargo</t>
  </si>
  <si>
    <t>Se debe tener en cuenta gran parte del abordaje de la subsanacion esta en funcion del contacto con funcionarios en territorio y dependerá del oportuno actuar de los propietarios de los registros.</t>
  </si>
  <si>
    <t>El indicador se ha definido mediante la generación de 68 Querys SQL, que evalúa diversos elementos fundamentales de los registros de sitios y cementerios, al ejecutar estas nuevas consultas se ha presentado un incremento dada la afinación y ampliación de criterios de control da calidad,  más detallados que permitieron evaluar 68 elementos relacionales, temáticos y posicionales de manera más amplia en los registros presentes, es importante tener en cuenta que aún persiste fallas en el instrumento de captura de información, generando el aumento sistemáticos de inconsistencias conforme se avanza en la alimentación del registro. En cuanto a abordaje de las inconsistencias, se menciona que se focalizó en elementos posicionales y atributivos esenciales.
La cifra de referencia (Variable 2), corresponde al numero de inconsistencias identificadas mediante la aplicación del script de  68 Querys SQL.  Para la vigencia se toma como linea base  una cifra de 23.487 inconsistencias detectadas, cabe aclarar que esta cifra corresponde al número total inconsistencias que presentan los registros de sitios y cementerios en elementos posicionales y atributivos esenciales (variables) que comprende cada registro de sitios y cementerios, mas no al número de registro con inconsistencias.</t>
  </si>
  <si>
    <t>Debido a la reciente actualización del reporte de inconsistencias, se ha determinado que un alto porcentaje de estas debe ser atendido por los distintos GITT, lo cual representa un desafío para el avance de las resoluciones. A pesar de ello, se están diseñando estrategias para establecer una comunicación asertiva con los propietarios de los registros afectados. El avance reportado de 38 incosistencias resuletas a la fecha, abarca la atención de elementos como: 
Cementerio con geometria nula
Sitios Sin Propietario asociado
Sitios Sin Condición
Sitios con diferencias en CodigoDane y localización
Registros de sitios duplicados
Cementerio  CodigoDane y localización
Cementerio geometria_nula
Cementerio sin geometria</t>
  </si>
  <si>
    <t>Durante el mes de abril se trabajó en la definición de estrategias que permitan el abordaje de las actividades de saneamiento desde los equipos territoriales dado que los ajustes masivos mediante consultas directas ya han sido abordados, siendo las pendientes aquellas que para su solución requiere de la participación de los propietarios de los registros afectados.</t>
  </si>
  <si>
    <t>Se avanzó en el análisis para la priorización de la atención de las inconsistencias faltantes, siendo esta fase esencial en la definición de la estrategia de abordaje la cual permita avanzar  de forma eficiente e integrada con los GITT en los próximos meses</t>
  </si>
  <si>
    <t>Durante el mes de mayo se atendieron 480 inconsistencias reportadas, y se da inicio a la estrategia de abordaje a resolucion de inconsistencias, contactando a los equipo territoriales para la atencion de sus reportes, asi como la identificacion de inconsistencias que pueden ser abordadas por base de datos.</t>
  </si>
  <si>
    <t>Se logro el cierre de unos de los items que componen el indicador, dif_lon_lat_sitios:, la cual refiere a los sitios que presentan diferencias en los datos de latitud y logitud, asi mismo se da  inicio al abordaje desde los equipos territoriales y el abordaje masivo de las inconsistencias que no requiere participacion de los equipos territoriales</t>
  </si>
  <si>
    <t>Para el mes de junio se proyecta un incremento en el avance de la variable 1 "número de registros corregidos" en el entendido que el equipo adelantará un ejercicio de procesamiento y ajuste masivo de registros inconsistentes detectados.</t>
  </si>
  <si>
    <t xml:space="preserve">Subdirección Técnica de Investigación Humanitaria </t>
  </si>
  <si>
    <t>L1-IAHE-002</t>
  </si>
  <si>
    <t xml:space="preserve">Avance Implementación de algoritmos </t>
  </si>
  <si>
    <t>Medir el grado de avance en el desarrollo, validación técnica e implementación operativa de algoritmos analíticos priorizados para fortalecer los procesos de búsqueda, identificación, análisis forense, unificación de identidades y caracterización poblacional en la UBPD, garantizando su integración funcional al Sistema de Información institucional y su uso efectivo en la parte misional de la Unidad.</t>
  </si>
  <si>
    <t>El indicador mide el porcentaje de algoritmos priorizados en el plan anual de desarrollo analítico que han sido desarrollados, documentados, validados técnicamente e implementados en entorno operativo o institucional durante el periodo evaluado.
Para efectos de medición, se considerará que un algoritmo está implementado cuando cumpla con los siguientes criterios mínimos:
- Desarrollo técnico finalizado.
- Validación metodológica documentada.
- Evidencia de pruebas funcionales.
- Integración al Sistema de Información o entorno institucional.
“El indicador mide implementación efectiva y no únicamente desarrollo conceptual, garantizando aplicabilidad institucional y trazabilidad técnica.”
Con el fin de entender la dinamica del indicador es preciso señalar que cuando se hace referencia a un algoritmo es una secuencia ordenada de instrucciones que procesa datos para generar resultados automatizados y reproducibles, apoyando el análisis y la toma de decisiones institucionales.</t>
  </si>
  <si>
    <t>Avance (%) = (V1 / V2) × 100</t>
  </si>
  <si>
    <t>(Numerador): Número acumulado de algoritmos implementados.</t>
  </si>
  <si>
    <t>(Denominador): Meta anual proyectada (5 algoritmos).</t>
  </si>
  <si>
    <t xml:space="preserve">Número	</t>
  </si>
  <si>
    <t>Actas, documentos técnicos, repositorio institucional de código y documentación (según lineamientos TI) y reportes de implementación emitidos por el Grupo Interno de Trabajo de Ciencias de Datos para la Búsqueda</t>
  </si>
  <si>
    <t>Durante el periodo evaluado no se registran algoritmos formalmente implementados, en razón a que los desarrollos priorizados se encuentran en fases de diseño metodológico, estructuración técnica y validación preliminar. Dado que el indicador mide implementación efectiva y no avances parciales, el comportamiento cuantitativo se mantiene en 0%. No obstante, el equipo ha avanzado en la definición de arquitecturas analíticas, pruebas de concepto, estructuración de datasets y ajustes metodológicos necesarios para garantizar implementaciones robustas y trazables en los próximos periodos.
El indicador está diseñado para medir implementaciones completas, lo cual implica que no refleja avances parciales de desarrollo. Se proyecta que los primeros resultados formales de implementación se consoliden en los próximos periodos, una vez culminen las fases de validación técnica e integración institucional. El ritmo de avance responde a criterios de calidad, trazabilidad y sostenibilidad técnica de los desarrollos.</t>
  </si>
  <si>
    <t>Logros:
'- Priorización técnica de los cinco algoritmos definidos para la vigencia.
- Avances en diseño metodológico y estructuración de modelos.
- Consolidación y depuración de fuentes de datos necesarias para los desarrollos.
- Ejecución de pruebas iniciales y validaciones internas preliminares.
Dificultades
- Necesidad de ajustes en calidad y normalización de datos de entrada.</t>
  </si>
  <si>
    <t>Durante el mes de marzo se registraron avances significativos en el desarrollo de los algoritmos priorizados para la vigencia. En particular, el algoritmo correspondiente a las herramientas de análisis de entrevistas alcanzó la fase de pruebas en ambiente controlado, incluyendo validaciones funcionales preliminares y ajustes técnicos. Los demás algoritmos definidos en el plan anual presentan progresos en sus fases de diseño metodológico, estructuración de datos y desarrollo inicial. No obstante, ninguno cumple aún con la totalidad de los criterios establecidos para su implementación formal, razón por la cual el avance cuantitativo del indicador se mantiene en 0%.</t>
  </si>
  <si>
    <t>- Puesta en ambiente de pruebas del algoritmo de análisis de entrevistas.
- Validaciones funcionales preliminares y ajustes de desempeño.
- Avances en la estructuración metodológica de los demás algoritmos priorizados.
- Consolidación de insumos técnicos y depuración de datasets requeridos.
Se proyecta que, una vez culminadas las pruebas y formalizada su integración al entorno institucional, el algoritmo de análisis de entrevistas, asi como el de vinculos  puedan ser reportado como implementados en los próximos periodos. El avance actual refleja progreso técnico sustantivo aunque aún no se haya consolidado la implementación formal exigida por el indicador.</t>
  </si>
  <si>
    <t>Durante el periodo se logró la implementación del primer algoritmo priorizado para la vigencia: el Pipeline de Categorización Masiva de entrevistas (Sistema de Análisis Inteligente de Textos Automatizado – Categorizador DAV). El desarrollo incluyó diseño arquitectónico en cuatro capas, definición de contratos mediante modelos Pydantic versionados, implementación completa del sistema, validación sobre corpus de prueba, ejecución de métricas de desempeño y entrega de manual técnico. Con este resultado, el indicador registra un avance acumulado del 20% frente a la meta anual de cinco algoritmos implementados.
El algoritmo implementado fortalece significativamente la capacidad institucional para el análisis masivo de las entrevistas en textos y la categorización automatizada bajo el Árbol de Códigos DAV. Se proyecta avanzar en la estabilización en ambiente productivo y continuar con el desarrollo de los cuatro algoritmos restantes durante la vigencia.</t>
  </si>
  <si>
    <t>Logros:
-Implementación integral del algoritmo de análisis de entrevistas.
-Integración de arquitectura modular en cuatro capas (Ingesta, Extracción, Categorización, Persistencia).
-Ajuste y validación de prompts especializados para versiones voluntarias.
-Ejecución de pruebas con métricas de evaluación sobre muestra representativa.
-Entrega de manual técnico y documentación estructurada.
-Pipeline en ejecución en ambiente de desarrollo institucional.
Dificultades:
-Ajustes iterativos en prompts para mejorar precisión contextual.
-Necesidad de pruebas adicionales para optimización de desempeño.
-Coordinación técnica para futura migración a ambiente productivo.</t>
  </si>
  <si>
    <t>Algoritmo 2:
Durante el periodo se registraron avances significativos en el desarrollo del Prototipo de Reconstrucción Facial Guiado por Landmarks + IA. Se consolidó el estado del arte, se realizaron pruebas sobre software especializado asociado y se avanzó en el diseño conceptual del modelo híbrido basado en landmarks e inteligencia artificial. Aunque el desarrollo presenta progresos técnicos relevantes, aún no cumple la totalidad de los criterios definidos para su implementación formal, por lo cual no incrementa el valor cuantitativo del indicador en este periodo.
Algoritmo 3:
Durante el periodo se registraron avances sustantivos en el desarrollo del Motor de Cruce Referencial (MATCH) con IA, orientado a la comparación estructurada de descripciones Ante-mortem (AM) y Post-mortem (PM) mediante representaciones vectoriales, embeddings y modelos de scoring ponderado. Se consolidó el diseño conceptual del modelo en cinco capas, se definió la estrategia de embeddings y ranking multicapa, y se avanzó en la construcción del dataset de calibración con casos históricos. Aunque el desarrollo presenta progreso técnico relevante, aún se encuentra en fase de implementación y calibración, por lo cual no incrementa el valor cuantitativo del indicador en el presente periodo.</t>
  </si>
  <si>
    <t>Logros:  
Algoritmo 2:
-Consolidación del estado del arte técnico en reconstrucción facial asistida por IA.
-Pruebas funcionales sobre software especializado asociado.
-Avance del diseño conceptual del modelo híbrido (Landmarks + IA).
-Definición preliminar de arquitectura del prototipo.
-Identificación de requerimientos técnicos para futura implementación.
Algoritmo 3:
-Diseño conceptual de arquitectura MATCH en cinco capas.
-Definición de estrategia híbrida (embeddings + filtros determinísticos).
-Construcción de modelo de scoring multicapa ponderado.
-Diseño del diccionario de relevancia.
-Identificación y análisis de patrones de coincidencia en casos históricos AM/PM.
-Definición de dataset de calibración para ajuste de pesos.
Dificultades:
Algoritmo 2
-Alta complejidad técnica del modelamiento facial guiado por landmarks.
-Necesidad de validaciones biométricas rigurosas.
-Dependencia de pruebas controladas con datasets adecuados.
-Ajustes en interoperabilidad con herramientas existentes.
Algoritmo3
-Complejidad técnica en la armonización de campos AM/PM heterogéneos.
-Necesidad de calibración rigurosa para evitar falsos positivos.
-Dependencia de calidad histórica de registros.
-Ajustes iterativos en estrategia de ponderación y ranking Top-K.</t>
  </si>
  <si>
    <t>El desarrollo del prototipo de reconstrucción facial constituye un avance estratégico de alta complejidad técnica que requiere fases progresivas de validación antes de su implementación formal. Se proyecta continuar con pruebas técnicas y estructuración metodológica para alcanzar los criterios definidos en el indicador.</t>
  </si>
  <si>
    <t>L1-P2-IHE-2026 Sistema de Información Misional SIM Busquemos versión 2.0 Implementado</t>
  </si>
  <si>
    <t>L1-IAHE-003</t>
  </si>
  <si>
    <t>Planes de remediación implementados</t>
  </si>
  <si>
    <t>Realizar seguimiento a la formulación e implementación de los Planes de Remediación de calidad del dato en los módulos del SIM BUSQUEMOS que sean priorizados</t>
  </si>
  <si>
    <t>Este indicador mide la capacidad institucional para corregir calidad en los datos alojados en el sistema SIM BÚSQUEMOS y en los sistemas con el que la UBPD interopera, entre ellos SIRDEC. Se entiende por Plan de Remediación el conjunto de acciones técnicas y administrativas (basadas en el estándar DAMA) orientadas a resolver problemas de integridad, precisión, consistencia o completitud detectados en los flujos de información de la UBPD.
Calidad del Dato: Grado en que los datos son aptos para su uso en los procesos de investigación humanitaria y extrajudicial, prospección, recuperación e identificación.
Remediación: Acción de corregir la causa raíz de un problema de datos o el dato per se.
RFC (Request for Change): Solicitud formal para modificar la estructura o los datos en el ambiente de producción.
Para que un plan de remediación sea contabilizado como "Implementado" en el reporte mensual, debe cumplir con el ciclo de vida definido por el equipo de Flujo de Vida del Dato:
Evidencia de Cierre: El plan debe haber superado las etapas de Evaluación, Diseño, Desarrollo y Puesta en Producción, este puede ser con un informe de ejecución o con los datos modificados en el sistema de información.
Soportes Técnicos: Debe existir un acta de aprobación de RFC o la certificación de pruebas de ejecución de scripts exitosa.
Efectividad: Conteo de registros impactados o cambios realizados efectivamente en la base de datos, según lo reportado en los informes de auditoría del sistema de información.
No se sumarán al indicador las siguientes actividades:
Mantenimientos Preventivos: Ajustes de hardware o actualizaciones de software que no impliquen corrección directa sobre la calidad de los datos existentes.
Planes en Estado de Diseño o Desarrollo: Aquellos planes que no hayan llegado a la fase de "Implementación" (puesta en producción) al cierre del mes de reporte.
Correcciones Manuales Individuales: Ediciones de datos realizadas por usuarios finales (diferente a planes de remediación del caso a caso) en el día a día que no formen parte de un plan de remediación estructurado y aprobado por la Mesa de Gobierno de Datos.
Scripts de Consulta: Pruebas o diagnósticos que solo identifiquen el error pero no ejecuten la corrección (limpieza o transformación).</t>
  </si>
  <si>
    <t>V1t/V2t*100</t>
  </si>
  <si>
    <t>Número de planes de remediación implementados</t>
  </si>
  <si>
    <t>Número de planes de remediación formulados o en formulación</t>
  </si>
  <si>
    <t>Bimensual</t>
  </si>
  <si>
    <t>Actas de las mesas de gobierno de datos, Actas de aprobación RFC, Pruebas de Ejecución de scripts en Bases de Datos, Conteos de cambios efectivamente realizados en Base de Datos, informes de auditoría para planes de remediación en el sim BUSQUEMOS</t>
  </si>
  <si>
    <t>Durante el mes de enero se ejecutó un plan de remediación PR18 que buscaba desasociar hechos de desaparición vacíos de las PDD para facilitar la lectura de los mismos en Busquemos, se desasociaron 929 hechos vacíos lo cual optimiza la investigación humanitaria y extrajudicial al eliminar de la vista información irrelevante o sin contenido.
Durante el mes de febrero del 2026 se ejecutó un plan de remediación, identificado como el PR10 Anulación de Personas Dadas por Desaparecidas duplicadas. Adicionalmente, se están adelantando los planes de remediación PR11 Anular Personas Buscadoras Duplicadas y PR17 Anular Personas Dadas por Desaparecidas por no ser una PDD.
Estos procesos generaron la anulación por duplicidad de 35 PDD, 3 PB y la anulación de 4 registros al no considerarse una PDD, todos estos cambios en Busquemos, esto implicó 372 cambios de datos en la Base de Datos productiva.
Con relación a los planes de remediación del SIRDEC, se realizó una validación y ajuste a los registros que serían enviados en cuanto a octubre, noviembre y diciembre de 2025, para que el INMLCF anule y asocie los duplicados encontrados. Así mismo, para que anule las víctimas indirectas encontradas, las cuales, corresponden a familiares de desaparecidos y no propiamente a desaparecidos del conflicto armado.</t>
  </si>
  <si>
    <t>Durante el mes de marzo se avanzó en el PR13 en el SIM Busquemos, restaurando una PDD anulada por solicitud de investigadores territoriales, esto implica devolver al estado original, previa anulación por  considerarse una PDD duplicada. Este proceso restaura los registros de PDD involucrados, aquella PDD que recibe toda la información queda también con su información en el estado original antes de ejecutarse la deduplicación
Ahora bien, con respecto a los palnes de remidación del SIRDEC:
1. Se remite plan de remediación al INMLCF, a través del oficio "UBPD-1-2026-003925 Primer Plan de remediación SIRDEC 2026". En este plan de remediación, se remite el ajuste de casos tanto para el módulo de cadáveres y desaparecidos a partir del cruce realizado por número de identificación igual entre ambos módulos. 
a. Verificación de entrega de cuerpos con estado de entrega PENDIENTE sin actualización en SIRDEC. (13 casos)
b. Cierre de Procesos en SIRDEC en necropsia, identificación o entrega. (23 casos)
c. Remisión de casos con coincidencias entre cuerpos y personas desaparecidas, sin registro de entrega a familiares y fuera de competencia UBPD (20 casos)
d. Anulación de Consecutivo (1 caso)
e. Corrección datos personales módulo de cadáver y módulo desaparecido (8 casos)
2. El segundo plan de remediación enviado al INMLCF durante el mes de marzo, "UBPD-1-2026-004672 Segundo plan de remediación 2026", corresponde a la validación, unificación y anulación de registros de desaparecidos del SIRDEC, en el cual, se solicita la anulación y respectiva asociación entre radicados anulados y activos.
El equipo de calidad de datos SIRDEC de la UBPD identificó 416 registros duplicados. Estos registros han sido minuciosamente validados y unificados de manera individual en el SIRDEC, conservando el radicado más antiguo. Por lo tanto, es necesario proceder con la anulación de los registros identificados como duplicados. Asimismo, durante la depuración, se encontraron 78 registros correspondientes a víctimas indirectas que corresponden a familiares de personas desaparecidas y no a víctimas directas de desaparición, por lo que también deben ser anulados.</t>
  </si>
  <si>
    <t>BUSQUEMOS:
Durante el mes de abril se ejecutaron dos planes de remediación, PR17 Anulación de personas por no ser PDD con un total de 8 PDD anuladas y PR11 anulación de PB duplicadas con un total de 2 PB anuladas por duplicidad.
Se avanzó en pruebas y ejecución en preproducción y la solicitud en Mesa de Servicio de la ejecución del plan del PR06 en busquemos en producción, a la espera de ejecución los primeros días del mes de mayo
Se diseñó, desarrolló y probó en ambientes de pruebas y de preproducción de Busquemos el plan de remediación para insertar las acciones de participación de las rutas buscadoras fluvial y terrestre en Busquemos, a la espera de la aprobación den mesa de gobierno y RFC para ejecución en ambiente productivo de Busquemos.
SIRDEC:
Durante el mes de abril, se realizaron las siguientes actividades de validación para llevar a cabo el plan de remediación de los registros duplicados y víctimas indirectas:
Validación de nombres y apellidos entre registros
Validación del lugar de desaparición entre radicados
Validación entre fechas de desaparición y de nacimiento de los desaparecidos
Validación de inconsistencias entre radicados activos y aquellos a anular.
Se espera que el plan de remediación se encuentre listo para enviar al INMLCF a principios del mes de mayo.
Ahora bien, los técnicos que tienen a cargo la tarea de validar manualmente la información de los posibles duplicados y víctimas indirectas, han seguido con los casos correspondientes a abril, los cuales, serán consolidados y enviados en el plan bimensual de abril y mayo de 2026.</t>
  </si>
  <si>
    <t xml:space="preserve">BUSQUEMOS: Se ejecutaron 4 planes de remediación en Busquemos, el PR06 cargue solicitudes de búsqueda compartidas con el CICR como resultado 219 PB y 219 PDD completaron y/o actualizaron información en Busquemos, PR14 cargue solicitudes de búsqueda por competencia remitidas por el CICR como resultado se crearon 83 PDD y 83 PB nuevas en busquemos. De otra parte, se avanza en el PR19 Acción de participación ruta buscadora, como resultado se cargaron 36 acciones de participación asociadas a las acciones de la ruta buscadora fluvial del año 2025 y PR20 Actualización coberturas GITT el cual agregó dos nuevas categorías a la lista de los GITT y se incluyó un nuevo municipio, además, se modificó la cobertura de GITT para 100 municipios y para Regional de 97 municipios.
SIRDEC: Se realizó la validación del plan de remediación del Registro Nacional de Desaparecidos para el periodo febrero-marzo de 2026 y se encuentra próximo a ser enviado al INMLCF. La validación corresponde a registros duplicados y a víctimas indirectas (familiares) que nunca debieron haberse registrado en SIRDEC.
</t>
  </si>
  <si>
    <t>N/A</t>
  </si>
  <si>
    <t xml:space="preserve">Estrategia de fortalecimiento para la optimización de procesos de explotación de datos y calidad de la información Fase II. </t>
  </si>
  <si>
    <t>DTIPLB/SGIB</t>
  </si>
  <si>
    <t>L1-IAHE-004</t>
  </si>
  <si>
    <t>Tasa de corrección de datos BUSQUEMOS</t>
  </si>
  <si>
    <t>Realizar seguimiento al avance en la remediación de datos del modulo según el número de datos a remediar arrojado por el informe de remediación al momento de la ejecución y según corresponda a las variables que se pretenden corregir una vez sean priorizadas por los CDO para cada módulo del SIM BUSQUEMOS priorizado en el Plan de Remediación.</t>
  </si>
  <si>
    <t>(No. datos remediados según modulo i/No. datos a remediar en el modulo i según el informe)*100</t>
  </si>
  <si>
    <t>No. datos remediados según modulo i</t>
  </si>
  <si>
    <t>No. datos a remediar en el modulo i según el informe</t>
  </si>
  <si>
    <t>Trimestral</t>
  </si>
  <si>
    <t>Inactivo</t>
  </si>
  <si>
    <t>L1-IAHE-005</t>
  </si>
  <si>
    <t>Ampliación de fuentes del Universo de PDD</t>
  </si>
  <si>
    <t>Realizar seguimiento a la ampliación de las fuentes que se pueden asociar con el Universo de Personas Dadas por Desaparecidas, con el fin de obtener mayor completitud de la información de PDD registradas, así como de las personas que buscan.</t>
  </si>
  <si>
    <t>Línea 1. Investigación Humanitaria y Extrajudicial (Gestión de información e Investigación para la Búsqueda)</t>
  </si>
  <si>
    <t>No Aplica</t>
  </si>
  <si>
    <t>L1-IAHE-006</t>
  </si>
  <si>
    <t>Mejora información de caracterización de PDD en el Universo</t>
  </si>
  <si>
    <t>Realizar seguimiento a los registros de PDD en el Universo que mejoran la información de variables de caracterización a partir de cruces de referencia</t>
  </si>
  <si>
    <t>Este indicador debe ser comprendido como la tarea de realizar seguimiento a los registros de Personas Dadas por Desaparecidas (PDD) en el Universo que mejoran la información de variables de caracterización mediante cruces de referencia con fuentes oficiales o internas, con énfasis en la validación de la identificación plena, entendida como la actualización, corrección o incorporación de datos en columnas como nombre completo (primer y segundo nombre, apellidos), número y tipo de documento validado, fecha de nacimiento, lugar de nacimiento (departamento y municipio), sexo o género y demás variables que permitan individualizar de manera inequívoca a la persona, garantizando mayor precisión, completitud y confiabilidad en sus datos de identificación.</t>
  </si>
  <si>
    <t>Número de registros de PDD validados</t>
  </si>
  <si>
    <t xml:space="preserve">Número de PDD en el Universo  con registros de variables de caracterización mejorados durante el periodo según variable de caracterización i (ejemplo: DI, RH, Estatura, etc) </t>
  </si>
  <si>
    <t xml:space="preserve">Total Número de PDD en el Universo </t>
  </si>
  <si>
    <t>Informacion suministrada por la Registraduría - Portal de interoperabilidad</t>
  </si>
  <si>
    <t>Durante este primer periodo del año, correspondiente a los meses de enero y febrero, se realizó un trabajo exhaustivo orientado a identificar y validar la información de aproximadamente 4.721 Personas Dadas por Desaparecidas (PDD). Este proceso permitió alcanzar un total de 79.607 PDD con información validada, lo que representa un avance significativo, ya que ahora se cuenta con datos confirmados sobre lugares de nacimiento y los diferentes documentos de identidad asociados a cada persona, fortaleciendo así la identificación y caracterización de los registros dentro del Universo.</t>
  </si>
  <si>
    <t xml:space="preserve">Aumentar la cantiadd de registros validados en el universo, consolidando un total de 79.607 validados </t>
  </si>
  <si>
    <t>Durante el mes de marzo, se realizó un trabajo exhaustivo orientado a identificar y validar la información de aproximadamente 2.329 Personas Dadas por Desaparecidas (PDD). Este proceso permitió alcanzar un total de 81.936 PDD con información validada, lo que representa un avance significativo, ya que ahora se cuenta con datos confirmados sobre lugares de nacimiento y los diferentes documentos de identidad asociados a cada persona, fortaleciendo así la identificación y caracterización de los registros dentro del Universo.</t>
  </si>
  <si>
    <t xml:space="preserve">Aumentar la cantidad de registros validados en el universo, consolidando un total de 81.936 validados </t>
  </si>
  <si>
    <t>Durante el periodo correspondiente al mes de abril, se continuó con las actividades de validación y fortalecimiento de la información asociada a las Personas Dadas por Desaparecidas (PDD), logrando revisar aproximadamente 2.225 registros. Como resultado de este proceso, el Universo cuenta actualmente con 84.159 PDD con información validada, permitiendo mejorar la precisión de variables clave como documentos de identidad y lugares de nacimiento, y consolidando así una caracterización más completa y confiable de los registros.</t>
  </si>
  <si>
    <t>Logros: Se logró aumentar la cantidad de registros validados dentro del Universo, alcanzando un total de 84.159 registros con información validada, fortaleciendo la calidad, confiabilidad y precisión de los datos asociados a las Personas Dadas por Desaparecidas.</t>
  </si>
  <si>
    <t>Durante el periodo correspondiente al mes de mayo no se registró un incremento en la cantidad de personas validadas dentro del Universo, debido a que los esfuerzos técnicos y operativos se concentraron en la construcción de la nueva versión del Universo de Personas Dadas por Desaparecidas. En este proceso se priorizó la integración y fortalecimiento de variables estratégicas relacionadas con los enfoques diferenciales, incluyendo información asociada a pertenencia étnica, género, ocupación y demás variables de caracterización, las cuales serán fundamentales para mejorar la identificación, análisis y comprensión de las dinámicas poblacionales presentes en el Universo.</t>
  </si>
  <si>
    <t>Por tanto, la principal dificultad presentada durante este periodo estuvo relacionada con que los esfuerzos técnicos y operativos no estuvieron enfocados en la consulta y validación de nuevos registros de identificación, debido a que el trabajo se concentró en la construcción de la nueva versión del Universo y en el fortalecimiento de variables asociadas a enfoques diferenciales y procesos de caracterización.</t>
  </si>
  <si>
    <t xml:space="preserve">R1. La investigación humanitaria y extrajudicial, aplicada, participativa y territorial, sustentada en el fortalecimiento de las capacidades y competencias en procesos forenses de prospección, recuperación, identificación y las nuevas metodologías forenses implementadas en la UBPD, agilizan e impulsan la búsqueda para encontrar a las PDD y responder a las personas, familias y OCMP que buscan, garantizando su derecho al acceso a la información.								</t>
  </si>
  <si>
    <t>L1-IAHE-007</t>
  </si>
  <si>
    <t>PDD con solicitud de búsqueda</t>
  </si>
  <si>
    <t>Determinar el número de personas dadas por desaparecidas registradas en el Universo que tiene asociada por lo menos una solictud de búsqueda</t>
  </si>
  <si>
    <t>Este indicador permite determinar el número de personas dadas por desaparecidas registradas en el Universo, (entendido como la base consolidada y depurada que integra los registros de personas cuya desaparición ocurrió en el contexto y en razón del conflicto armado y que cumplen con los criterios de competencia material y temporal de la UBPD), que tienen asociada al menos una Solicitud de Búsqueda (RSB), entendida ésta como el registro formal ingresado por familiares o personas legitimadas mediante el cual se activa el proceso humanitario de búsqueda. 
En este sentido, este indicador permite medir el nivel de articulación entre el Universo de Personas Dadas por Desaparecidas y la base del Registro de Solicitudes de Búsqueda, evidenciando el grado en que los casos consolidados cuentan con una activación formal del proceso de búsqueda dentro de la entidad.</t>
  </si>
  <si>
    <t>Total de PDD en el Universo que tiene asociada por lo menos una solicitud de búsqueda</t>
  </si>
  <si>
    <t>Total Número de PDD en el Universo</t>
  </si>
  <si>
    <t>Base de datos consolidada del registro de solicitudes de Búsqueda.</t>
  </si>
  <si>
    <t>Durante el periodo correspondiente a enero y febrero, se avanzó en el enriquecimiento del Universo mediante la actualización e integración de registros provenientes de la fuente de información RSB (Registro de Solicitudes de Búsqueda). Como resultado de este proceso, se logró incorporar un total de 36,761 solicitudes de búsqueda asociadas al Universo, lo que representa un avance importante en la consolidación de información y en la integración de la mayor cantidad posible de solicitudes de búsqueda dentro de la base del Universo de Personas Dadas por Desaparecidas.</t>
  </si>
  <si>
    <t>Relacionar mas solucitudes de busquedas al universo.</t>
  </si>
  <si>
    <t>Durante el periodo correspondiente a marzo, se avanzó en el enriquecimiento del Universo mediante la actualización e integración de registros provenientes de la fuente de información RSB (Registro de Solicitudes de Búsqueda). Como resultado de este proceso, se logró incorporar un total acumulado de 37,908 solicitudes de búsqueda asociadas al Universo, lo que representa un avance importante en la consolidación de información y en la integración de la mayor cantidad posible de solicitudes de búsqueda dentro de la base del Universo de Personas Dadas por Desaparecidas.</t>
  </si>
  <si>
    <t>Relacionar mas solicitudes de busquedas al universo.</t>
  </si>
  <si>
    <t xml:space="preserve">Durante el periodo correspondiente al mes de abril, se identificaron 275 nuevas solicitudes de búsqueda provenientes de la fuente RSB (Registro de Solicitudes de Búsqueda).  Sin embargo es necesario precisar que la cifra reportada en el periodo de marzo (37.908) surtió variación atendiendo a los procesos de validación de la información realizada al interior del equipo como son: revisión de duplicidad en las SB, consistencia de la información y  verificación del límite temporal de la justicia transicional, esto es que la SB no supere el 1 de diciembre de 2016, por lo tanto, este ejercicio arrojó un total validado de 37.556 PDD con al menos una solicitud de búsqueda.
</t>
  </si>
  <si>
    <t>Logros:
Identificación de nuevos RSB en el universo de PDD.
Dificultades:
Tenemos aproximadamente 279 SB sin asociarles un ID PDD atendiendo a que se estan realizando las validaciones de identificacion con el fin de corroborar que pertenezcan al universo</t>
  </si>
  <si>
    <t>Durante el periodo correspondiente al mes de mayo, se identificaron e incorporaron 411 nuevas solicitudes de búsqueda provenientes de la fuente RSB (Registro de Solicitudes de Búsqueda). No obstante, es importante precisar que la cifra reportada en el periodo anterior presentó variaciones debido a los procesos de validación y depuración realizados al interior del equipo, los cuales incluyeron revisión de duplicidad de solicitudes de búsqueda, verificación de consistencia de la información y validación del límite temporal de la justicia transicional, es decir, que las solicitudes no superaran el 1 de diciembre de 2016. Como resultado de este ejercicio de validación, se consolidó un total de 37.967 Personas Dadas por Desaparecidas (PDD) con al menos una solicitud de búsqueda asociada.</t>
  </si>
  <si>
    <t>Identificación de nuevos RSB en el universo de PDD.
Tenemos aproximadamente 34 SB sin asociarles un ID PDD atendiendo a que se estan realizando las validaciones de identificacion con el fin de corroborar que pertenezcan al universo.</t>
  </si>
  <si>
    <t xml:space="preserve">Grupo Interno de Trabajo de Gestión de Fuentes de Información                     </t>
  </si>
  <si>
    <t>L1-IAHE-008</t>
  </si>
  <si>
    <t>Fortalecimiento procesamiento Archivo Especial de DDHH</t>
  </si>
  <si>
    <t>Dar cuenta de los avances en el acopio de información, procesamiento y estructuración de información no estructurada susceptible de ser incorporada en el Archivo Especial de Derechos Humanos (AEDDHH) proveniente de la fuente DAS.</t>
  </si>
  <si>
    <t xml:space="preserve">El Fortalecimiento al Archivo Especial de DDHH se da por medio del proceso de acopio, procesamiento y estructuración de información de los expedientes del extinto DAS. A este respecto se entiende como:
- Acopio: Serán los folios digitalizados de los expedientes del extinto DAS
- Procesamiento: Se entenderá que es el procedimiento que se aplica a los archivos digitalizados para que cuente con reconocimiento de caracteres
- Estructuración: Corresponde al registro de información organizado por variables en el aplicativo SIRI (Sistema Integral de Registro de Información)
Para efecto de la medición del indicador se abarcaran las siguientes variables las cuales deben ser entendidas así:
Revisión: Corresponde a la lectura e identificación de pertinencia de los folios digitalizados
Digitalización: Se refiere a los folios que fueron migrados de formato físico a digital
Procesamiento: Se entenderá que es el procedimiento que se aplica a los archivos digitalizados para que cuente con reconocimiento de caracteres
Estructuración: Es la revisión de calidad de la totalidad de registros y la completitud de la información de cada una de las variables, correspondiente a cada persona que ha sido identificada como priorizada para la búsqueda.
Análisis inicial: Corresponde a la creación de expedientes creados por persona priorizada.
La metodología en este año varía en el sentido en el que la revisión e identificación de pertienencia de información se dará en un momento posterior a la digitalización, es decir se trasnferiran carpetas completas sin lectura previa. En consecuencia la revisión de los folios disminuirá considerablemente con respecto al año anterior y por otra parte la digitalización aumentará en congruencia con las capacidades técnicas de la entidad que custodia los archivos. Esto obedece al nuevo enfoque del proyecto y a la disminución del equipo contratado para tal fin. </t>
  </si>
  <si>
    <t xml:space="preserve">Archivos provenientes de la fuente DAS revisados, digitalizados, procesados, estructurados y analizados </t>
  </si>
  <si>
    <t>Número de archivos provenientes de la fuente DAS en el formato impreso revisados</t>
  </si>
  <si>
    <t xml:space="preserve">Numero de archivos provenientes  de la fuente DAS en el formato impreso digitalizados </t>
  </si>
  <si>
    <t xml:space="preserve">Numero de archivos provenientes  de la fuente DAS en el formato impreso procesados </t>
  </si>
  <si>
    <t>Numero de archivos provenientes  de la fuente DAS en el formato impreso con información estructurados</t>
  </si>
  <si>
    <t>Numero de archivos provenientes  de la fuente DAS en el formato impreso analizados</t>
  </si>
  <si>
    <t>Archivo especial de derechos humanos - fuente DAS</t>
  </si>
  <si>
    <t>- Durante el mes de enero se sostuvieron mesas de trabajo en relación con el nuevo enfoque que para esta vigencia tendrá el proyecto, en este sentido, se centraron los esfuerzos en estos dos primeros meses en la digitalización de folios, razón por la cual no se hizo revisión (lectura e identificación de pertinencia). 
- Igualmente, se sostuvo mesa de trabajo con el coordinador del Grupo Interno de Trabajo de Gestión de Fuentes y Custodia de Información y con el ingeniero responsable de realizar procesamiento por OCR, de lo cual se inicia la fase de pruebas antes de poder dar inicio a esta variable.
- Por otra parte estructuración centró sus esfuerzos en la actualización de inventarios y avanzó de una manera pausada en la estructuración de variables por persona identificada como priorizada
- Finalmente, dentro de la planeación, se proyectó el inicio de trabajo de creación de expedientes a partir del mes de marzo, toda vez que se hizo igualmente trabajo de actualización de la base de personas priorizadas, luego de la contrastación con el universo. Arrojando un total de 207 expedientes pendientes por crear.</t>
  </si>
  <si>
    <t xml:space="preserve">Por cada una de las variables se refleja el siguiente comportamiento:
Revisión: 0 folios
Digitalización: 16.694 folios
Procesamiento: 0
Estructuración: 92 personas con información estructurada, estos corresponden a 45 documentos.
Análisis inicial: 0 expedientes creados </t>
  </si>
  <si>
    <t>- En el mes de marzo solo se realizaron 5 jornadas de digitalización de folios en razón a que la JEP y la DNI suspendieron el 50 % de las diligencias. Por ello se presenta una disminución considerable en la cantidad de folios digitalizados.
- Por otra parte estructuración aumentó en un 80% la producción en este mes, teniendo como eje el trabajo con las variables por persona identificada como priorizada.
- Por su parte se dió la creación de 14 expedientes de personas priorizadas y se actualizaron otros 17 que tenían información inconclusa o errada, esto con el fin de fortalecer la calidad del dato. Para fin de los indicadores, solo se reportan los que fueron creados.</t>
  </si>
  <si>
    <t>Por cada una de las variables se refleja el siguiente comportamiento:
Revisión: 0 folios
Digitalización: 6.444 folios
Procesamiento: 0
Estructuración: 176 personas con información estructurada, estos corresponden a 36 documentos.
Análisis inicial: 14 expedientes que contienen 15 documentos vinculados.
Es importante mencionar que en este mes de marzo se aumentó la cantidad de registros de personas creadas en el Sistema SIRI, lo que aumenta la posibilidad de generar mayores hallazgos con la información recolectada</t>
  </si>
  <si>
    <t>- En el mes de abril  se realizaron 8 jornadas de digitalización en una sala de consulta, en razón a que dificultades administrativas de la DNI hizo que solo cuenten con una persona para acompañar diligencias y no dos como era acostumbrado. Por ello no presenta variación considerable el número de folios digitalizados.
- Por otra parte estructuración continúa en aumentó la producción en este mes, teniendo como eje el trabajo con las variables por persona identificada como priorizada.
- En abril se dió inicio al procesamiento de folios implementando OCR, logrando alcanzar 89.124 folios que ya cuentan con ésta cualidad.
- En el caso de análisis inicial se crearon 82 expedientes de personas priorizadas, generando un aumento considerable en éste componente.</t>
  </si>
  <si>
    <t>Logros:
Por cada una de las variables se refleja el siguiente comportamiento:
Revisión: 0 folios
Digitalización: 7.554  folios
Procesamiento: 89.124 folios representados en 1.661 documentos
Estructuración: 238 personas con información estructurada, estos corresponden a 3 documentos.
Análisis inicial:  82 expedientes que contienen 91 documentos vinculados.
Es importante mencionar que en este mes de abril se continuó con la creación de registros de personas en el Sistema SIRI.</t>
  </si>
  <si>
    <t>- En el mes de mayo se retomó la revisión de nuevas cajas, llevandose a cabo en 4 consultas en una sola sala, durante el mes y alcanzando un total de 18.438 folios.
- Igualmente, se realizaron 6 jornadas de digitalización en una sala de consulta, continúa la anormalidad en las diligencias por las razones administrativas de la DNI. Presenta un aumento en el número de folios digitalizados.
- Por otra parte estructuración centró su trabajo en normalización y calidad del dato, por lo que no reporta acciones en SIRI.
- En este mes se completó el proceso de procesamiento de folios de aquellos archivos que ya se encuentran en el Servidor. A este respecto se procesaron 84.241 folios que ya cuentan con OCR.
- En el caso de análisis inicial centraron su trabajo en normalización y calidad del dato, por lo que no se crearon expedientes.</t>
  </si>
  <si>
    <t>Logros:
Por cada una de las variables se refleja el siguiente comportamiento:
Revisión: 18.438 folios
Digitalización: 18.424  folios
Procesamiento: 84.241 folios representados en 1.352 documentos
Estructuración: 0 
Análisis inicial:  0
Es importante mencionar que en este mes de mayo, estructuración y análisis inicial centraron sus esfuerzos en normalización y calidad del dato, por lo que no adelantaron acciones en SIRI.</t>
  </si>
  <si>
    <t>L1-IAHE-009</t>
  </si>
  <si>
    <t>Avance fortalecimiento Datalake</t>
  </si>
  <si>
    <t>Realizar seguimiento al fortalecimiento del DataLake derivado de la incorporación de los documentos electrónicos provenientes de las diferentes fuentes gestionadas y que se encuentran bajo custodia de la DTIPLB, incluyendo su procesamiento e indexación en el  Elasticsearch, facilitando la consulta  por los investigadores, a través de palabras claves, dentro de las labores de búsqueda cotidianas.</t>
  </si>
  <si>
    <t>(No. documentos electrónicos indexados disponibles para consulta en el datalake/ No. documentos electrónicos que se encuentran bajo custodia de la DTIPLB)*100</t>
  </si>
  <si>
    <t>No. documentos electrónicos indexados disponibles para consulta en el datalake</t>
  </si>
  <si>
    <t>No. documentos electrónicos que se encuentran bajo custodia de la DTIPLB</t>
  </si>
  <si>
    <t>L1-IAHE-010</t>
  </si>
  <si>
    <t>Porcentaje de avance en la implementación  del Sistema de Consulta</t>
  </si>
  <si>
    <t>Realizar seguimiento al avance en la implementación del Sistema de Consulta y Administración del Uso de información documental por tipo de fuente que además se integre a herramientas de analítica, minería de datos e inteligencia artificial.</t>
  </si>
  <si>
    <t>(Avance del periodo/meta proyectada)*100</t>
  </si>
  <si>
    <t>Avance del periodo</t>
  </si>
  <si>
    <t>Meta proyectada</t>
  </si>
  <si>
    <t>No aplica</t>
  </si>
  <si>
    <t>L1-IAHE-011</t>
  </si>
  <si>
    <t>Publicación de casos en la Estrategia de Búsqueda Inversa</t>
  </si>
  <si>
    <t>Verificar los casos que se postulan por los GITTs y entidades externas e incluir (publicar) aquellos que cumplen los criterios de la Estrategia de Búsqueda Inversa. En todo caso, este indicador mide la cantidad de registros que son validados (variable 2) así estos sean o no publicados en la estrategia.</t>
  </si>
  <si>
    <t>Este indicador permite contar y conocer el proceso de validación y publicación o no, que se ha surtido en los casos de Cadáveres Identificados No Entregados - CINE postulados por diferentes fuentes, como lo son; la FGN, la JEP, el INMLCF o nuestros propios Grupos Internos de Trabajo Territorial o Regional.
Conceptos: 
CINE: Cadáver Identificado No Entregado
Cadaver Postulado: Corresponde a los registros de los CINEs que las entidades externas y los GITTR suministran a la estrategia de búsqueda inversa para que sea validado y publicado si cumple con los requisitos del procedimiento.
Cadaver Validado: Corresponde a los registros de los CINEs que son validados por la STIH a partir de los criterios definidos en el procedimiento de búsqueda inversa.
Cadáver Publicado: Corresponde a los registros de los CINEs que cumplieron los criterios del procedimiento de búsqueda inversa y son publicados en la página web de la estrategia para ubicar a los familiares o serer queridos.
Para ver los criterios con los cuales se descartan o publican los casos en la estrategia, remitirse al procedimiento de búsqueda inversa IAH-PR-010.
De momento, se viene realizando una revisión manual (mensual) a través de una matriz de casos que se encuentra compartida en Drive con todos los territorios de la UBPD, pero actualmente, desde la STIH se viene desarrollando y poniendo en marcha un aplicativo que permitirá analizar el ciclo completo mencionado en los conceptos del presente indicador.</t>
  </si>
  <si>
    <t>(V1/V2)*100</t>
  </si>
  <si>
    <t>Número de Cuerpos Identificados No Reclamados - CINE, validados y publicados en la estrategia en 2026</t>
  </si>
  <si>
    <t>Número de Cuerpos Identificados No Entregados postulados, con hipotesis que los hace susceptibles de ser incorporados en la estrategia de búsqueda inversa en 2026</t>
  </si>
  <si>
    <t>Visualizador Búsqueda Inversa: http://cpp-pbi-p02/Reports/powerbi/Visualizadores%20SGIB/Busqueda%20Inversa</t>
  </si>
  <si>
    <t>Modificado</t>
  </si>
  <si>
    <t>Durante los meses de enero y febrero se contó con 4 casos postulados, de los cuales, se validaron 2 casos y luego del evaluar el cumplimiento de criterios, se aprobó y realizó la publicación de 2 casos.
MARTIN FERNANDO CAMPOS VALENCIA
FREDIS HERNANDEZ LOZANO
Los otros dos casos están en validación, para garantizar que los mismos cumplan los criterios para realizar su publicación en el mes de marzo de 2026.</t>
  </si>
  <si>
    <t>LOGROS: 
1. Validar y publicar 2 casos en la estrategia de búsqueda inversa.
2. Culminar el desarrollo del aplicativo de búsqueda inversa, 
3. Crear los usuarios interinstitucionales de la JEP, INMLCF y la FGN
DIFICULTADES: A partir de los recortes presupuestales que sufrió la UBPD en 2026, fue necesario reducir un contrato de la persona que se dedicaba de tiempo exclusivo para la estrategia.</t>
  </si>
  <si>
    <t>Se postularon 23 casos a la estrategia de búsqueda inversa: 
MILTON FABIAN CESPEDES ALZATE
UBER ALBERTO MARIN OROZCO
JOSE LUIS CHAVES LOPEZ
JOSE ALBERTO GUZMAN RAMIREZ
WILLIAM GUTIERREZ GUZMAN
AMALIA RAMIREZ ROJAS
CRISTIAN GAITAN
JORGE ELIECER CASTAÑEDA TORRES
JORGE PANESSO PULGARIN
GERMAN OMAR GORY PEÑARANDA
REINALDO AYALA SANTAMARIA
EDUIN FERNANDO MARTINEZ GARCIA
JUAN BAUTISTA CARDENAS CLAVIJO
EDUARDO ROVIRA MOSQUERA
HERNAN MURILLO ASPRILLA
LUIS FERNANDO BORJA HOLGUIN
LARRIS PINTO MEZA
MARIO FERNANDO TORRES AYALA
GERZON MEJIA MENDEZ
LUIS HUMBERTO MONSALVE TUBERQUIA
GIOVANNI GUTIERREZ PEÑA
JOSE GUILLERMO JIMENEZ
VICTOR ALFONSO PEREZ OSORIO
De los 23 casos, 7 cumplieron con los criterios y se publicaron en el aplicativo web.
MILTON FABIAN CESPEDES ALZATE
UBER ALBERTO MARIN OROZCO
JOSE LUIS CHAVES LOPEZ
JOSE ALBERTO GUZMAN RAMIREZ
WILLIAM GUTIERREZ GUZMAN
AMALIA RAMIREZ ROJAS
CRISTIAN GAITAN
De los 23 casos, no se pudo culminar el proceso de validación, por cuanto corresponde a un menor de edad y no contamos con la tarjeta de preparación RNEC para realizar cruces de huellas dactilares. Nos encontramos validando la posibilidad de publicarlo para no negar el derecho de encontrar a sus familias.</t>
  </si>
  <si>
    <t>1. Validación de 23 casos y publicación de 7 casos que cumplian con los criterios de la estrategia de búsqueda inversa.
2. Se realizó la capacitación del nuevo aplicativo de búsqueda inversa a los servidores públicos de las entidades JEP., FGN y el INMLCF.
3. Se crearon los usuarios de las entidades JEP., FGN y el INMLCF, en el aplicativo de búsqueda inversa en ambiente de producción</t>
  </si>
  <si>
    <t xml:space="preserve">Durante el mes de abril, se inició la transición formal a la herramienta de búsqueda inversa. Para ello, se llevó a cabo un espacio de "En sintonía", en el cual, se sensibilizó a los(as) investigadores(as) a nivel nacional de la necesidad de empezar a manejar la nueva plataforma. Al respecto, posterior a la sesión, se recibió la primera postulación a través del aplicativo web. Esta solicitud se encuentra en validación, por ende, no se contabiliza dentro del numerador.
Durante este mes, se llevó a cabo la entrega del proceso de búsqueda inversa al grupo de metodologías de investigación. Lo anterior, considerando que este proceso venía siendo liderado por el grupo de ciencia de datos cuando en su momento se denominaba Subdirección de Gestión de Información. Así las cosas, se realiza entrega formal del proceso a la servidora Diana Helena Sanchez de acuerdo con el estado de los casos y en especial, con aquellos que aún no se han entregado dignamente.
Se tiene previsto realizar sesiones de capacitación formal a cada región de la UBPD, con el fin de que todos(as) los investigadores conozcan e interactuen directamente con la herramienta. Así mismo, para darle a conocer los casos que fueron filtrados en 2025 con el fin de que los GITT tuveran casos de </t>
  </si>
  <si>
    <t>Logros:
1. Puesta en marcha de la herramienta de búsqueda inversa.
2. Presentación de la herramienta a nivel nacional en el espacio "sin sintonía"
3. Entrega del proceso a metodologías de investigación</t>
  </si>
  <si>
    <t>Durante el mes de mayo fueron postulados 3 CINE a la estrategia de Búsqueda Inversa y de ellos, en 2 casos se dió el cumplimiento de los criterios para públicación:
ALEXANDER DE JESUS YEPEZ MENDEZ - GITT ARAUCA
DAVID VILLAMIZAR URIBE - GITT SANTANDER
Para el periodo de mayo, se retomo el seguimiento a 37 casos que ya cuentan con familiares o allegados que se contactaron con la estrategia de Búsqueda Inversa y que se encuentran en la gestión y articulación para la materialización de la Entrega Digna de estos CINE. 
Con relación al aplicativo de Búsqueda Inversa, en el mes de mayo se realizó capacitación a la profesional Diana Helena Sánchez Garzón, responsable la estrategia, respecto al funcionamiento de la plataforma y la gestion de su perfil en el aplicativo como Verificadora y se llevaron a cabo reuniones de prueba y ajuste a la plataforma teniendo en cuenta las necesidades de la estrategia y los reportes que se deben presentar con relación a los CINE que se postulan.
Se tiene previsto realizar 1 sesion con los equipos territoriales en el espacio de Encontremos nos, para la presentación formal e interacción con la herramienta y darles a conocer los casos que fueron filtrados en 2025 con el fin de que los GITT depuren los casos que podrían ser postulados.
De otro lado, el 27 de mayo de 2026 se participó en una Mesa Tecnica convocada por la JEP para conocer el estado de los casos con Medidas Cautelares que hacen parte de la estraegia de Búsqueda Inversa.</t>
  </si>
  <si>
    <t xml:space="preserve">Logros:
1. Puesta en marcha y sociliazación del aplicativo de Búsqueda Inversa.
2. Seguimiento a 37 casos cuyas familias o allegados ya se contactaron con la estrategia de Búsqueda Inversa y que se encuentran en la gestión y articulación para la materialización de su Entrega Digna.
Dificultades: 
1. Demora en la reactivación del usuario SIRDEC de la profesional Diana Helena Sánchez Garzón quien está a cargo de la validación y gestion de públicación de los casos postulados a la estrategia, lo que retrasó la validación de los casos postulados en el mes de mayo. </t>
  </si>
  <si>
    <t>L1-IAHE-012</t>
  </si>
  <si>
    <t>Cuerpos Identificados No Entregados publicados, con familiares o allegados encontrados</t>
  </si>
  <si>
    <t>Contabilizar los casos publicados en la estrategia de Búsqueda Inversa a los cuales se ha localizado a su familiar o allegado. La diferencia (No encontrados) le dará herramientas a los GITT para emprender nuevas estrategias de comunicación de búsqueda de familiares.</t>
  </si>
  <si>
    <t>Este indicador permite contar y conocer el proceso que han surtido los casos de Cadáveres Identificados No Entregados - CINE que fueron postulados, validados y publicados en la estrategia de búsqueda inversa. Al respecto, podremos conocer si de los casos publicados han aparecido familiares o allegados o si por el contrario, existen casos que requieren nuevos procesos de comunicación para encontrar a los familiares.  Frente a esto, es importante indicar, que si bien, se realizan acciones para encontrar a los familiares o seres queridos, esto no siempre garantizará el cumplimiento del 100% por cuanto, hay personas que nunca tuvieron familia biológica o social o que pudieron haber muerto con el paso de los años.
Conceptos: 
CINE: Cadáver Identificado No Entregado
Cadaver Postulado: Corresponde a los registros de los CINEs que las entidades externas y los GITTR suministran a la estrategia de búsqueda inversa para que sea validado y publicado si cumple con los requisitos del procedimiento.
Cadaver Validado: Corresponde a los registros de los CINEs que son validados por la STIH a partir de los criterios definidos en el procedimiento de búsqueda inversa.
Cadáver Publicado: Corresponde a los registros de los CINEs que cumplieron los criterios del procedimiento de búsqueda inversa y son publicados en la página web de la estrategia para ubicar a los familiares o serer queridos.
Cadáver con familia o allegado encontrado: Corresponde a los CINEs que fueron publicados en la página web de la estrategia y que luego de la publicación se encontraron los familiares o seres queridos..
NOTA: Las familias o allegados se contactan con la UBPD a través de varios medios, como lo son; línea telefónica, Whatsapp, formulario web, oficina presencial, jornadas de trabajo en territorio, entre otras que se pueden visualizar en el procedimiento de búsqueda inversa.
De momento, se viene realizando una revisión manual (mensual) a través de una matriz de casos que se encuentra compartida en Drive con todos los territorios de la UBPD, pero actualmente, desde la STIH se viene desarrollando y poniendo en marcha un aplicativo que permitirá analizar el ciclo completo, incluyendo el registro de familiares o allegados.</t>
  </si>
  <si>
    <t>Número de Cuerpos Identificados No Entregados - CINE incluidos en la estrategia, con familiares o allegados encontrados en 2026</t>
  </si>
  <si>
    <t>Número de Cuerpos Identificados No reclamados -CINE verificados e incluidos en la estrategia (sin familiar o allegado encontrado) al 31 de diciembre 2025</t>
  </si>
  <si>
    <t>Durante los meses de enero y febrero se contó logró la entrega digna de 1 persona con condición inicial de Cadáver Identificado No Entregado (CINE).
NEIR SANCHEZ GOMEZ
Frente a los casos publicados, se logró el contacto con la familia o allegados de 3 casos de Cadáveres Identificados No Entregados. Al iniciar el contacto con las familias o allegados se iniciar el proceso de validación de su parentesco y posterior entrega del cuerpo.
EMERSON RAFAEL ORTIZ CRUZATE
ANGEL GABRIEL MENDOZA YANES
JOANY BONILLA
A 31 de diciembre de 2025, teníamos 33 casos en estado "sin contacto".</t>
  </si>
  <si>
    <t>LOGROS: 
1. Entregar 1 caso en el marco de la estrategia de búsqueda inversa.
2. Encontrar a la familia de 3 casos publicados en la estrategia de búsqueda inversa.
3. Culminar el desarrollo del aplicativo de búsqueda inversa, 
4. Crear los usuarios interinstitucionales de la JEP, INMLCF y la FGN
DIFICULTADES: A partir de los recortes presupuestales que sufrió la UBPD en 2026, fue necesario reducir un contrato de la persona que se dedicaba de tiempo exclusivo para la estrategia.</t>
  </si>
  <si>
    <t>Durante el mes de marzo de 2026.se encontró la familia o allegados de 2 Cadáveres Identificados No Entregados.
EDISON ALBEIRO DIAZ ALVAREZ 
JOSE LUIS CHAVES LOPEZ
Así mismo. para esta fecha, contamos con 36 casos (Acumulados) de CINE que aún no tienen contacto con familiares o allegados.
JUAN CARLOS MURILLO RIVAS
BELISARIO LOPEZ GOMEZ
CESAR ABALDINO OSPINA
LUIS ALFONSO GONZALEZ
GILBERTO CALA
LUIS ALEJANDRO BEJIAR
GILBERTO GONZALEZ URREGO
CARLOS JULIO QUINTERO ALVAREZ
MILLER ZANS CUCHIMBA
CAMILA HERRERA ROJAS
ELIZABETH TOLEDO TRUJILLO
LOBZAN ESCALONA
NICOLAS STIVEN ALVAREZ ARANGO
ALE PARDO NIETO
JOSE MANUEL LOAIZA SANCHEZ
EDISON ARIAS GOMEZ
LUIS DANIEL HERNANDEZ
HAROLD ALEXANDER DELGADO RINCON
LUIS ALFONSO VARGAS LÓPEZ
JUAN ANTONIO MENDOZA GONZALEZ
MARTIN FERNANDO CAMPOS VALENCIA
JUAN CARLOS RAMIREZ RODRIGUEZ 
EDUARDO GUTIERREZ TORRES 
JULIO DE JESUS MORENO HERNANDEZ
GUILLERMO HERNANDEZ LONDOÑO
FREDIS HERNANDEZ LOZANO
MILTON FABIAN CESPEDES ALZATE
CARLOS ADOLFO TORRES CAICEDO
ALVARO MOTTA RAMIREZ
PEDRO DIAZ
UBER ALBERTO MARIN OROZCO
JOSE ALBERTO GUZMAN RAMIREZ
WILLIAM GUTIERREZ GUZMAN
HERNANDO GALVIZ PINEDA
AMALIA RAMIREZ ROJAS
CRISTIAN GAITAN</t>
  </si>
  <si>
    <t>Se resalta que durante el mes de marzo de 2026, se realizó la validación, publicación y ubicación de la familia de JOSE LUIS CHAVES LOPEZ, lo cual, resulta siendo una victoria temprana para un caso recien publicado.
Se realizó seguimiento caso a caso de aquellos CINE que aún no cuentan con entrega digna (39 casos), pudiendo entender situaciones o dificultades que tienen los territorios, las cuales, no han permitido que se realice la entrega digna correspondiente; entre las principales razones se encuentran lo siguiente: 
1. No obtención de bóvedas a perpetuidad con los municipios
2. Disparidad de criterios de identificación con la FGN, lo cual, genera reprocesos de identificación ya que ellos no realizan VCPM, sino que realizan procesos de genética, lo cual, ralentiza la entrega de los familiares.
3. Hay casos en que la familia solicita pruebas genéticas por desconfianza o situaciones pasadas con otras entidades.
4. Casos que luego de un análisis secundario, se determinó que no correspondían al conflicto armado colombiano, lo que complejiza la entrega formal como parte del mandato humanitario y extrajudicial de la UBPD
5. Familias que han perdido el interés en la entrega y dejan de comunicarse con la UBPD durante los dialogos que realiza el territorio.
6. Familias en el exterior que solicitan su entrega con meses de posterioridad.
Entre otras causas.</t>
  </si>
  <si>
    <t>Durante el mes de abril no se encontró la familia de alguno de los casos que se encuentran en estado "Sin contacto".</t>
  </si>
  <si>
    <t>Pese a que no se encontraron nuevas familias en el mes de abril, se reporta la entrega digna de 2 de los casos que se encontraban con "familiar o allegado encontrado", relacionados a continuación: 
JORGE ELIECER PARRA GARNICA
JAIME ESTEVE BUCAMA
Se realizó un Script en SQL para analizar aquellos casos que se han entregado y que no se han cerrado formalmente en SIRDEC. Al respecto, esta información será remitida formalmente a los GITTR a inicios del mes de mayo, en todo caso, buscando que las entregas sean registradas por cada uno de los funcionarios de la UBPD.</t>
  </si>
  <si>
    <t>Durante el mes de mayo se contactaron los familiares o allegados de 1 de los CINE que se encuentran publicados en la estrategia Búsqueda Inversa. Con base a ello desde el equipo territorial se inicia el dialogo con la familia o allegados para validar su parentesco y gestionar lo pertinente para la materialización de la entrega digna del cuerpo.
JUAN ANTONIO MENDOZA GONZALEZ - GITT NORTE DE SANTANDER
Para el periodo de mayo, se retomo el seguimiento a 37 casos que ya cuentan con familiares o allegados que se contactaron con la estrategia de Búsqueda Inversa y que se encuentran en la gestión y articulación para la materialización de la Entrega Digna de estos CINE. 
El 27 de mayo de 2026 se participó en una Mesa Tecnica convocada por la JEP para conocer el estado de los casos con Medidas Cautelares que hacen parte de la estraegia de Búsqueda Inversa.</t>
  </si>
  <si>
    <t xml:space="preserve">LOGROS: 
1. Encontrar a la familia de 1 CINE publicado en la estrategia de búsqueda inversa.
2. Puesta en marcha del aplicativo de Búsqueda Inversa.
3. Seguimiento a 37 casos que ya cuentan con familiares o allegados que se contactaron con la estrategia de Búsqueda Inversa y que se encuentran en la gestión y articulación para la materialización de la Entrega Digna
</t>
  </si>
  <si>
    <t xml:space="preserve">Revisar el valor de la variable 2 (Número de Cuerpos Identificados No reclamados -CINE verificados e incluidos en la estrategia (sin familiar o allegado encontrado) al 31 de diciembre 2025), debido a que no es estatica. </t>
  </si>
  <si>
    <t>Ruta de aportantes de información  Fase II en operación</t>
  </si>
  <si>
    <t>L1-IAHE-013</t>
  </si>
  <si>
    <t>Porcentaje de avance en la implementación de la herramienta para la administración de información de aportantes de información que participaron directa o indirectamente en las hostilidades.</t>
  </si>
  <si>
    <t>Realizar seguimiento al avance en la implementación de la herramienta para la administración de información de aportantes</t>
  </si>
  <si>
    <t>L1-P1-IHE-2026 Estrategia para la planificación de la IHE Fortalecida</t>
  </si>
  <si>
    <t>Grupo Interno de Trabajo Metodologías de Innovación para la Búsqueda</t>
  </si>
  <si>
    <t>L1-IAHE-014</t>
  </si>
  <si>
    <t>Avance en la formulación o actualización de PRB</t>
  </si>
  <si>
    <t>Realizar seguimiento al avance en la formulación o actualización de los Planes Regionales de Búsqueda de acuerdo con los Lineamientos para la formulación e implementación de los planes regionales de búsqueda</t>
  </si>
  <si>
    <t xml:space="preserve">Este indicador permite medir el nivel de avance alcanzado en el proceso de formulación inicial o de actualización de cada uno de los 96 Planes Regionales de Búsqueda de la UBPD, verificando el cumplimiento de las fases, requisitos y criterios definidos en los lineamientos para la formulación e implementación de los Planes Regionales de Búsqueda. El indicador integra el diagnóstico y la formulación del plan operativo. </t>
  </si>
  <si>
    <t>Número de PRB que han concluido su formulación o actualización</t>
  </si>
  <si>
    <t>Número de PRB programados para formular o actualizar durante el periodo</t>
  </si>
  <si>
    <t>Para la formulación de PRB se tienen presentes las siguientes fuentes: Registro de Solicitudes de Búsqueda, Universo de Personas desaparecidas de la UBPD, Registro Nacional de Fosas, Cementerio Ilegales y sepulturas (RNFCIS), Sentencias de Justicia y Paz, Sentencias de Juzgados de Restitución de Tierras, Centro Nacional de Memoria Histórica, Base de datos del conflicto - Centro Nacional de Memoria Histórica, Informes de Casos Unidad de Restitución de Tierras, Informes de casos Cinep, base de datos de Violación a DD.HH. Ministerio del Interior, Informes diagnóstico de cementerios SIRDEC, Consultas Públicas, Módulo de Cadáveres. Fiscalía General de la Nación. SIJYP, GRUBE JEP, Universo de víctimas de Macrocasos y AUTOS de Medidas cautelares Defensoría del Pueblo, Sistema de Alertas Tempranas.
Adicionalmente los PRB reposan en la siguiente carpeta: https://drive.google.com/drive/folders/1g75AWQT1Vhvt5LLJGi6bBSzkz0-qMuNE</t>
  </si>
  <si>
    <t xml:space="preserve">Durante los meses de enero y febrero las acciones se enfocaron en desarrollar insumos técnicos para la elaboración de los documentos diagnósticos de los PRB Del Archipiélago, Guainía y Alto Putumayo, así como para la actualización de los PRB Suroriente de Cundinamarca, Sur del Huila y Oriente Antioqueño. </t>
  </si>
  <si>
    <t xml:space="preserve">Los insumos para la actualización y elaboración de los documentos diagnóstico se construyen por diferentes áreas: grupos internos de trabajo territorial, grupos regionales y las Subdirecciones de Investigación Forense. Esta elaboración conjunta ha implicado la coordinación acertada de las fuentes necesarias, los objetivos de los apartados y los cortes coincidentes del Universo de personas desaparecidas. </t>
  </si>
  <si>
    <t>Durante el mes de marzo se realizó la actualización de los PRB Cordillera Central del Tolima y Pacífico Medio. Adicionalmente, se avanzó en la elaboración de los diagnósticos de los PRB de los PRB Del Archipiélago, Guainía y Alto Putumayo.</t>
  </si>
  <si>
    <t xml:space="preserve">Se ha logrado gestionar las necesidades de los insumos con los nuevos delegados de los Grupos Internos Regionales para la elaboración de los insumos, de acuerdo con el memorando UBPD-3-2026-001928. Adicionalmente se han recibido algunos de la subdirección de Participación y de los GITT. </t>
  </si>
  <si>
    <t>Durante el mes de abril se realizó la actualización del PRB del Pacífico Medio, así como el PRB Sur del Huila. Se finalizó el diagnóstico del PRB del Archipiélago.</t>
  </si>
  <si>
    <t>Logros:
Con las nuevas cifras del Universo de personas desaparecidas, se cuenta con información actualizada en los Planes regionales de búsqueda entregados. Los insumos de los GITT han logrado llegar a tiempo, según lo planeado.
Dificultades:
Se presentaron dificultades con los insumos de los geógrafos regionales, toda vez que la solicitud de su apoyo no fue incluída en el memorando. Para la solicitud de los insumos de segundo semestre, dicha dificultad ha sido superada.</t>
  </si>
  <si>
    <t>Durante el mes de mayo se finalizó la elaboración de los PRB Alto Putumayo y suroriente de Cundinamarca</t>
  </si>
  <si>
    <t xml:space="preserve">Dificultades. Aún no se recibe el apartado "2.5 Condiciones generales para la búsqueda" del PRB Cordillera Central del Tolima, pendiente desde enero de 2026. 
Logros: Los insumos de los GITT han logrado llegar a tiempo, según lo planeado, así como los soportes elaborados por los referentes de Prevención y Protección. </t>
  </si>
  <si>
    <t>L1-P4-IHE-2026 Estrategia Aportantes Consolidada</t>
  </si>
  <si>
    <t>Grupo Interno de Trabajo de Gestión de Fuentes de Información</t>
  </si>
  <si>
    <t>L1-IAHE-015</t>
  </si>
  <si>
    <t>Aportantes de información priorizados</t>
  </si>
  <si>
    <t>Medir el progreso en la recopilación de información de aportantes priorizados, de acuerdo con los criterios establecidos, con el fin de asegurar un avance continuo y efectivo en la recolección y verificación de información relevante para los casos en curso.</t>
  </si>
  <si>
    <t>Este indicador mide el avance en la gestión de recopilación y verificación de información proveniente de aportantes priorizados, conforme a los criterios técnicos definidos por la estrategia institucional. Se entiende por avance efectivo el cumplimiento de acciones concretas de abordaje que permitan obtener, formalizar y evaluar información relevante para la búsqueda de personas dadas por desaparecidas en el contexto y en razón del conflicto armado.
Para efectos del reporte, se entenderán como conceptos clave:
Aportante priorizado: Persona identificada y validada conforme a los criterios institucionales de priorización (relevancia territorial, relación con casos activos, calidad de fuente primaria o secundaria estratégica, potencial de aporte significativo a la búsqueda).
Recopilación efectiva de información: Acción que incluye contacto formal, realización de entrevista o jornada de trabajo, recepción documentada de información y registro en los instrumentos institucionales correspondientes.
Verificación preliminar: Análisis inicial de pertinencia, coherencia y potencial utilidad de la información recibida para su vinculación a casos, hipótesis o líneas de investigación en curso.</t>
  </si>
  <si>
    <t>Número de aportantes priorizados a abordar con contribución de información</t>
  </si>
  <si>
    <t>Número de aportantes priorizados abordados</t>
  </si>
  <si>
    <t>Lineamiento de trabajo con PPDIH (en ajuste por parte de las distintas dependencias de la UBPD)</t>
  </si>
  <si>
    <t>En los meses de enero y febrero, se implementaron acciones estratégicas que permitieron la convocatoria y trabajo con 46 PPDIH, lo que representa un avance del 12% respecto a la meta establecida. Es relevante indicar que los aportantes abordados corresponden a diversos tipos de actor armado: 20 de fuerza pública, 11 de grupos paramilitares, 13 de grupos guerrilleros, 1 vinculado a una BACRIM, y 1 aportante civil. De acuerdo al estado del proceso de cada una de estas PPDIH, se implementaron las actividades, las cuales mayoritariamente correspondieron a espacios de contribución de información (24), seguido de 14 diálogos, 6 sesiones de pedagogía y 2 acompañamientos a entrevistas.</t>
  </si>
  <si>
    <t>Se implementaron acciones estratégicas que involucran la participación de Personas que Participaron Directa o Indirectamente en las Hostilidades (PPDIH) de actores armados diversos con el fin de fortalecer y nutrir las Investigaciones Humanitarias y Extrajudiciales (IHE), a saber; comparecientes de Fuerza Pública, personas privadas de la libertad (PPL) en los Centros de Reclusión CPAMS La Picota, Cómbita y de La Dorada, y personas desmovilizadas, lo cual evidencia el compromiso con la articulación interinstitucional y la consolidación de mecanismos de búsqueda eficientes en el marco de la justicia transicional. Adicionalmente, la estrategia de trabajo con PPDIH y los lineamientos de esta fueron publicados por el Sistema Integrado de Gestión.</t>
  </si>
  <si>
    <t xml:space="preserve">Durante el mes de marzo se priorizó el abordaje de 24 PPDIH, convocados para activación de ruta y derivados a los GITT correspondientes para continuación del proceso de contribución con el fin de adelantar toma de aportes (11), diálogos (11) y pegagogías (2). Las PPDIH abordadas abarcan dos tipos de actor armado, a saber, personas que estuvieron vinculadas a la Fuerza Pública y a grupos guerrilleros, distribuidos por estructura de la siguiente manera: Ejército Nacional (18), ELN (4), FARC-EP (1) y PC-ML EPL (1). </t>
  </si>
  <si>
    <t>Las acciones implementadas permitieron el abordaje de PPDIH de diversas situaciones jurídicas: comparecientes, firmantes, gestores de paz y personas privadas de la libertad. Esto ha sido posible a partir de la construcción de confianza con actores diversos, fortaleciendo el carácter extrajudicial de la búsqueda. Adicionalmente, se han socializado con los GITT la estrategia, lineamientos y el procedimiento de la ruta de trabajo con PPDIH,  así como la Resolución 866 de 2025 (expedición de constancias y acreditaciones) con el fin de fortalecer y potenciar la gestión de información que permita avanzar en las Investigaciones Humanitarias y Extrajudiciales (IHE).</t>
  </si>
  <si>
    <t>Durante el mes de abril se implementaron acciones estratégicas para el abordaje de 86 PPDIH, priorizados de acuerdo a los criterios técnicos establecidos. En razón de sus situaciones jurídicas, se han priorizado 54 personas sometidas al Régimen de Condicionalidad, 29 personas privadas de la libertad, 1 desmovilizado y 2 personas sin procesos judiciales. La trayectoria de estas PPDIH es diversa, del total de aportantes abordados 48 corresponden a personas que pertenecieron al Ejército Nacional, 26 a las FARC-EP, 10 a grupos paramilitares, 1 al Ejército Revolucionario Guevarista y 1 funcionario público.</t>
  </si>
  <si>
    <t>Logros:
El fortalecimiento de la pedagogía facilitó la formalización de 43 nuevos aportantes, expandiendo el alcance del abordaje de PPDIH para la recopilación de información para la búsqueda. Además, asegurar la seguridad jurídica de los actores convocados ha permitido generar confianza institucional, consolidando así la naturaleza extrajudicial de la labor humanitaria. Asimismo, se han adelantado las acciones pertinentes de acuerdo al estado de la ruta de trabajo con aportantes ya vinculados, a saber, 22 espacios de toma de aportes (entrevistas y ejercicios de georreferenciación), 10 diálogos y 11 acompañamientos a los GITT en las entrevistas convocadas.</t>
  </si>
  <si>
    <t>En el mes de mayo se priorizó el abordaje de 37 PPDIH considerando los criterios técnicos establecidos para la implementación de acciones estratégicas que permitieron optimizar la obtención, valoración y aprovechamiento de la información en la búsqueda de personas dadas por desaparecidas. Teniendo en cuenta que las remisiones de la Jurisdicción Especial para la Paz (JEP) son priorizadas, los comparecientes ante la JEP (14 PPDIH) representan el 38% de los aportantes abordados. Considerando la confiabilidad de la información contribuida por Personas Privadas de la Libertad, el abordaje de esta población representa el 32% de las PPDIH abordadas (12 PPL en los Centros de Reclusión de Cómbita, La Dorada y Bogotá- La Picota). Asimismo, se abordaron PPDIH en procesos de Gestorías de Paz y/o Diálogos de Paz activos (6 PPDIH), 3 PPDIH desmovilizados, 1 aportante anónimo y 1 persona con situación jurídica indefinida. Estas acciones fueron implementadas con diversos tipos de actor armado, distribuidos así: Ejército Nacional de Colombia (10 PPDIH), Ejército de Liberación Nacional- ELN (6 PPDIH), FARC-EP (9 PPDIH), grupos paramilitares (11 PPDIH) y  1 aportante anónimo. Estas corresponden a 20 sesiones de toma de aporte, 7 acompañamientos del nivel central a las entrevistas realizadas, 6 pedagogías y 4 diálogos; estas actividades fueron determinadas por el estado de las rutas de trabajo o la formalización inicial del proceso de contribución.</t>
  </si>
  <si>
    <t>Durante el período de referencia la priorización de 37 PPDIH con situaciones jurídicas diversas y el desarrollo de jornadas de fortalecimiento de la articulación interinstitucional con la JEP (SAAD Comparecientes) y el Ministerio de Defensa (FONDETEC) permitió la identificación de nuevos aportantes de información y el fortalecimiento del caracter extrajudicial de la búsqueda humanitaria. Asimismo, el aprovechamiento de estas fuentes de alta confiabilidad ha permitido el avance en la elaboración de 3 informes para el trámite de acceso a lugares de considerados de oportunidad y atención inmediata en el departamento del Caquetá.</t>
  </si>
  <si>
    <t xml:space="preserve">L1-P5-IHE-2026 Estrategia Misión identificación								</t>
  </si>
  <si>
    <t xml:space="preserve">Subdirección Técnica Forense		</t>
  </si>
  <si>
    <t xml:space="preserve">Subdirección General Técnica y Territorial			</t>
  </si>
  <si>
    <t>L1-IAHE-016</t>
  </si>
  <si>
    <t xml:space="preserve">Cuerpos identificados por parte de la UBPD y el INMLCF					</t>
  </si>
  <si>
    <t>Realizar el seguimiento al avance del proceso de identificación impulsado por la UBPD y el INMLCF, tanto mediante el abordaje integral forense en laboratorio, como a través de la aplicación de la metodología de Verificación de Correspondencia de Información Post Mortem (VCIPM).</t>
  </si>
  <si>
    <t xml:space="preserve">Consiste en medir y analizar de manera periódica el progreso de los casos intervenidos, tanto mediante el abordaje integral forense en laboratorio como a través de la aplicación de la metodología de Verificación de Correspondencia de Información Post Mortem (VCIPM) por parte de la UBPD y del INMLCF. Este seguimiento permite establecer el estado y los resultados del proceso de identificación, a partir de la consolidación, validación y comparación de la información técnica generada en cada metodología.								</t>
  </si>
  <si>
    <t xml:space="preserve">∑= (Número de cuerpos identificados por las acciones realizadas durante la verificación de correspondencia de información post mortem  por equipos interdisicplinarios de la UBPD / Número de cuerpos identifcados por Abordaje Integral Forenses en CIAFIS UBPD/ Número de cuerpos identificados por  verificación de correspondencia de información post mortem y abordaje integral por parte del INMLCF)							</t>
  </si>
  <si>
    <t xml:space="preserve">Número de cuerpos identificados por las acciones realizadas durante la verificación de correspondencia de información post mortem  por equipos interdisicplinarios de la UBPD							</t>
  </si>
  <si>
    <t xml:space="preserve">Número de cuerpos identifcados por Abordaje Integral Forenses en CIAFIS UBPD							</t>
  </si>
  <si>
    <t>Número de cuerpos identificados por  verificación de correspondencia de información post mortem y abordaje integral por parte del INMLCF</t>
  </si>
  <si>
    <t xml:space="preserve">Informes Pericial de Antropología Forense UBPD -INMLCF
Informes Pericial de Odontologia Forense UBPD -INMLCF
Informes Pericial de Necropsia Medico legal UBPD -INMLCF
Matriz Necropsias de casos abordaje Integral UBPD - INMLCF
Informes de verificación de correspondencia postmortem								</t>
  </si>
  <si>
    <t>Durante enero y febrero se logró la identificación de 29 cuerpos, distribuidos así:
• INMLF: entregó 14  informes periciales con resultado positivo para identificación 
• CIAFIS: realizó el abordaje interdisciplinario forense de 12 casos en el CIAFI Bogotá, 52 casos en el CIAFI  Medellin,  83 casos CIAFI Bucaramanga, 19 casos CIAFI Neiva, 15 casos CIAFI Popayán y 4 CIAFI Yopal Para un total de 185 casos y 12 casos identificados,:Bogotá 1,  Medellín 5 y  en Bucaramanga  6.
• VCIPM: 1 cuerpo por abordaje por metodologia VCIPM en el Cementerio del Sur Bogotá y 2 cuerpos identificados despues del procesamientos de muestras genéticas.</t>
  </si>
  <si>
    <t>Logros: 
1.Priorización de abordaje forense de los cadaveres con probable ID y con muestras de familiares.
Dificultades:
CIAFI MEDELLÍN
•Cabina de secado: El Servicio de Antropología del INMLCF contaba con dos cabinas de secado, de las cuales una estaba destinada al proceso del CIAFI; no obstante, debido a una avería técnica, esta no puede continuar en uso. Actualmente, solo se dispone de una cabina de secado, la cual debe compartirse entre el proceso del CIAFI y los casos atendidos por el servicio para otras autoridades.
•Necesidad de modelos anatómicos: Es indispensable contar con un modelo anatómico del sistema esquelético humano para el desarrollo del proceso pericial por parte de antropólogos y médicos, dado su papel fundamental en el análisis de trayectorias y eventos asociados a los casos.
•Altas temperaturas y niveles de ruido en el CIAFI: Las condiciones ambientales del CIAFI, caracterizadas por altas temperaturas y elevados niveles de ruido provenientes de establecimientos vecinos, dificultan el adecuado desarrollo de los procesos de análisis realizados por los equipos de antropología y el personal médico.</t>
  </si>
  <si>
    <t>Durante Marzo se logró la identificación de 40 cuerpos, distribuidos así:
• INMLF: entregó 9  informes periciales con resultado positivo para identificación 
• CIAFIS: Se abordaron 137 casos en los CIAFIS UBPD: 30 en Medellín, 22 en Bogotá,  10 en Neiva, 48 en Bucaramanga,  14 en Popayán y 6 en yopal. Identificando 15 cuerpos:Bogotá 6,  Medellín 3,  Bucaramanga  3, Neiva 2 y yopal 1.
• VCIPM: 12  cuerpos por abordaje por metodologia VCIPM en el Cementerio del Sur Bogotá.
• Genética procesamiento muestras casos VCIPM: 4 cuerpos identificados.</t>
  </si>
  <si>
    <t>CIAFI Medellín: Cabina de secado: El Servicio de Antropología del INMLCF contaba con dos cabinas de secado, de las cuales una estaba destinada al proceso del CIAFI; no obstante, debido a una avería técnica, esta no puede continuar en uso. Actualmente, solo se dispone de una cabina de secado, la cual debe compartirse entre el proceso del CIAFI y los casos atendidos por el servicio para otras autoridades.
CIAFI Bucaramanga: Falta de Capacitación de la plataforma SIRDEC y  Falta de equipo de escáner</t>
  </si>
  <si>
    <t>Durante Abril se logró la identificación de 25 cuerpos, distribuidos así:
• INMLF: entregó 1  informes periciales con resultado positivo para identificación 
• CIAFIS: Se abordaron 140 casos en los CIAFIS UBPD: 40 en Medellín, 19 en Bogotá,  15 en Neiva, 53  en Bucaramanga,  11 en Popayán y 2 en yopal. Identificando 11 cuerpos:Bogotá 3,  Medellín 3,  Bucaramanga 2, Neiva 1, popayán 1 y yopal 1.
• VCIPM: 9  cuerpos por abordaje por metodologia VCIPM en cementerios
• Genética procesamiento muestras casos VCIPM: 4 cuerpos identificados.</t>
  </si>
  <si>
    <t>CIAFI Popayán: Durante el mes reportado se realizaron aperturas aplicando la Metodología de Necropsia por Procesos, lo cual generó un impacto significativo en la cantidad de casos abordados y analizados, destacándose la identificación mediante verificación por correspondencia postmortem.
CIAFI Medellín: Necesidad de modelos anatómicos: Es indispensable contar con un modelo anatómico del sistema esquelético humano para el desarrollo del proceso pericial por parte de antropólogos y médicos, dado su papel fundamental en el análisis de trayectorias y eventos asociados a los casos.
Altas temperaturas y niveles de ruido en el CIAFI: Las condiciones ambientales del CIAFI, caracterizadas por altas temperaturas y elevados niveles de ruido provenientes de establecimientos vecinos, dificultan el adecuado desarrollo de los procesos de análisis realizados por los equipos de antropología y el personal médico</t>
  </si>
  <si>
    <t>Durante Mayo se logró la identificación de 36 cuerpos, distribuidos así:
• INMLF: entregó 11  informes periciales con resultado positivo para identificación 
• CIAFIS: Se abordaron 106 casos en los CIAFIS UBPD: 22 en Medellín, 23 en Bogotá,  16 en Neiva, 21  en Bucaramanga,  16 en Popayán y 8 en yopal. Identificando 13 cuerpos:Bogotá 8,  Medellín 3 y popayán 2.
• VCIPM: 8  cuerpos por abordaje por metodologia VCIPM en cementerios
• Genética procesamiento muestras casos VCIPM: 4 cuerpos identificados.</t>
  </si>
  <si>
    <t>Dificultades 
CIAFI Medellín: Altas temperaturas y niveles de ruido en el CIAFI: Las condiciones ambientales del CIAFI, caracterizadas por altas temperaturas y elevados niveles de ruido provenientes de establecimientos vecinos, dificultan el adecuado desarrollo de los procesos de análisis realizados por los equipos de antropología y el personal médico.
Logros :
CIAFI NEIVA: Se ha mantenido comunicación permanente con el Laboratorio de Genética, desde donde se informa que actualmente se está dando prioridad a los cotejos con familiares y/o casos de uniprocedencia. De igual manera, se ha realizado seguimiento a los cuerpos no orientados, con el fin de remitir un oficio adicional al laboratorio y solicitar la priorización del procesamiento y análisis de las respectivas muestras.</t>
  </si>
  <si>
    <t>Informes Ejectivos CIAFIS
Base Cuerpos Identicados INMCLF y UBPD
Base Unificada Nacional de CIAFIS</t>
  </si>
  <si>
    <t>L1-P5-IHE-2026 Estrategia Misión identificación</t>
  </si>
  <si>
    <t>L1-IAHE-017</t>
  </si>
  <si>
    <t>Cuerpos abordados por los equipos interdisciplinarios de la UBPD,  bajo la metodología de verificación de correspondencia de información post mortem</t>
  </si>
  <si>
    <t xml:space="preserve">Realizar el seguimiento al avance del proceso de identificación impulsado por la UBPD mediante la aplicación de la metodología de verificación de correspondencia de información post mortem in situ- VCIPM. 
Se define como el número de cuerpos abordados  bajo la metodología de VCIPM por parte de la UBPD expresado como porcentaje del total de cuerpos abordados bajo esta medología  y que se tenían proyectados abordar bajo esta metodología inlcuídos en los planes de intervención propuestos por los GITT para la vigencia 2026.								</t>
  </si>
  <si>
    <t xml:space="preserve">La metodología de verificación de correspondencia de información post mortem tiene un exhaustivo trabajo de rastreo y sistematización de información (necropsias, actas de inspección, entre otros) sobre los cuerpos que son de interés para la búsqueda y que posiblemente se encuentran en condición de CNI o CINR en diferentes sitios del cementerio del país.  
Esta metodología establece la correspondencia entre información de cadáveres sometidos a necropsia y hallazgos en cuerpos recuperados/exhumados en cementerios para el impulsar el proceso de identificación de los cadáveres no identificados (CNI) o cadáveres identificados no entregados (CINE).
Criterios de Exclusión:
- No se incluiran casos abordados por otro tipo de metología de abordaje, tal como abordaje por Examen Forense Preliminar.
								</t>
  </si>
  <si>
    <t xml:space="preserve">(# de cuerpos abordados bajo VCIPM/ # de cuerpos proyectados abordar por VCIPM incluídos en los planes de intervención propuestos por los GITT para la vigencia 2026)*100							</t>
  </si>
  <si>
    <t xml:space="preserve">Número de cuerpos  abordados bajo la metodología de verificación de correspondencia de información post mortem por parte de la UBPD							</t>
  </si>
  <si>
    <t xml:space="preserve">Número de cuerpos proyectados abordar bajo la metodología de verificación de correspondencia de información post mortem, incluídos en los planes de intervención propuestos por los GITT para la vigencia 2026.							</t>
  </si>
  <si>
    <t xml:space="preserve">Mensual        </t>
  </si>
  <si>
    <t xml:space="preserve">Informes de verificación de correspondencia postmortem								</t>
  </si>
  <si>
    <t>Durante el mes de enero y febrero se  abordaron 5 cuerpos bajo la metodologia de VCIPM de los cuales 1  arrojo correspondencia positiva identificados. A continuación se detallan los resutlados por cementerio intervenido:
Cementerio del Sur  - Bogotá Cundinamarca:  5 cuerpos de los cuales 1 arrojo correspondencia positiva identificado.</t>
  </si>
  <si>
    <t>Logros: 
1 Seguimientos en el SIRDEC de los cadáveres verificados.
Dificultades: 
1. Aumentar la cantidad de personal preparado para llevar a cabo verificaciones. 
2. Escaso talento humano preparado para afrontar la actividad de verificación.</t>
  </si>
  <si>
    <t xml:space="preserve">Durante el mes de marzo se  abordaron 23 cuerpos bajo la metodologia de VCIPM de los cuales 12 cuerpos arrojaron correspondencia positiva identificados. A continuación se detallan los resutlados por cementerio intervenido:
Cementerio Serafín de Bogotá  - Cundinamarca:  3 cuerpos de los cuales 3 arrojaron correspondencia positiva identificado.
Cementerio Católico de Saravena - Arauca:   1 cuerpo abordado con correspondencia positiva identificado.
Cementerio Municipal de Tame - Arauca:  10 cuerpos de los cuales 7 arrojaron correspondencia positiva identificado.
Cementerio municipal de Arauca - Arauca:   1 cuerpo abordado con correspondencia positiva identificado.
Cementerio de Puerto Asís - Putumayo: 7 cuerpos de los cuales 1 arrojo correspondencia positiva identificado.
Cementerio de Mocoa - Putumayo : 1 cuerpo abordado </t>
  </si>
  <si>
    <t>"Logros: 
1 Seguimientos en el SIRDEC de los cadáveres verificados.
Dificultades: 
1. Aumentar la cantidad de personal preparado para llevar a cabo verificaciones. 
2. Escaso talento humano preparado para afrontar la actividad de verificación.</t>
  </si>
  <si>
    <t>n/a</t>
  </si>
  <si>
    <t>Durante el mes de abril se  abordaron 56 cuerpos bajo la metodologia de VCIPM de los cuales 9 cuerpos arrojaron correspondencia positiva identificados. A continuación se detallan los resutlados por cementerio intervenido:
Cementerio de Fusagasugá  - Cundinamarca:  15 cuerpos de los cuales 6 arrojaron correspondencia positiva identificado.
Cementerio del Sur - Bogotá:  8 cuerpos de los cuales 2 arrojaron correspondencia positiva identificado.
Cementerio de Moniquirá - Boyacá: 5 cuerpos abordados 
Cementerio de San Carlos - Antioquia:  26 cuerpos abordados
Cementerio San Antonio (P5) de Montería:  2 cuerpos de los cuales 1 arrojo correspondencia positiva identificado.</t>
  </si>
  <si>
    <t xml:space="preserve">Durante el mes de mayo se  abordaron 37 cuerpos bajo la metodologia de VCIPM de los cuales 8 cuerpos arrojaron correspondencia positiva identificados. A continuación se detallan los resutlados por cementerio intervenido:
Cementerio Nuevo Bosque Mocarí de Montería:  15 cuerpos de los cuales 5 arrojaron correspondencia positiva identificado.
Cementerio del Sur - Bogotá:  7 cuerpos de los cuales 3 arrojaron correspondencia positiva identificado.
Cementerio de San José del Guaviare: 15 cuerpos abordados 
</t>
  </si>
  <si>
    <t>Matriz Cifras Verificación de Correspondencia Post Mortem Mayo 2026</t>
  </si>
  <si>
    <t>L1-IAHE-018</t>
  </si>
  <si>
    <t xml:space="preserve">Cuerpos intervenidos por Abordaje Integral Forense					</t>
  </si>
  <si>
    <t xml:space="preserve">Realizar el seguimiento al avance del proceso de descongestión de los cuerpos recuperados por la UBPD y trasladados al INMLCF que se encuentra pendientes de abordaje.
Se define como el número de cuerpos abordados integralmente por los equipos interdisciplinarios de la UBPD en Laboratorio expresado como porcentaje del total de cuerpos recuperados por la UBPD y que se encuentran en el INMLCF pendientes de abordaje.								</t>
  </si>
  <si>
    <t xml:space="preserve">Cuerpos recuperados por la UBPD intervenidos por Abordaje Integral Forense, en el cual se realiza un análisis integral de manera interdisciplinaria , ya sea efectuando el procedimiento de necropsia o verificando la correspondencia entre la información de un cadáver sometido a necropsia y los hallazgos del examen al cuerpo recuperado/exhumado en el cementerio.
								</t>
  </si>
  <si>
    <t xml:space="preserve">(# de cuerpos  abordados integralmente por los equipos interdisciplinarios de la UBPD en Laboratorio/Total de cuerpos recuperados por la UBPD y que se encuentran en el INMLCF pendientes de abordaje.)*100							</t>
  </si>
  <si>
    <t xml:space="preserve"># de cuerpos abordados integralmente por los equipos interdisciplinarios de la UBPD en Laboratorio							</t>
  </si>
  <si>
    <t xml:space="preserve">Total de cuerpos recuperados por la UBPD y que se encuentran en el INMLCF pendientes de abordaje.							</t>
  </si>
  <si>
    <t xml:space="preserve">Matriz Necropsias de casos abordaje Integral HSJD
BASE UBPD-INTEGRADA DE CUERPOS RECUPERADOS INMLCF 2019 - 2026								</t>
  </si>
  <si>
    <t>Durante el mes de enero y febrero se realizó el abordaje interdisciplinario forense de 12 casos en el CIAFI Bogotá, 52 casos en el CIAFI  Medellin,  83 casos CIAFI Bucaramanga, 19 casos CIAFI Neiva, 15 casos CIAFI Popayán y 4 CIAFI Yopal Para un total de 185 casos y 12 casos identificados, los cuales se relacionan a continuación:
El abordaje en el laboratorio Bucaramanga, arrojo 6 cuerpos positivo para identificación por abordaje VCIPM. 
El abordaje en el laboratorio Bogotá, arrojo 1 cuerpo positivo para identificación por abordaje integral.
El abordaje en el CIAFI de Medellín arrojo 5 cuerpos positivos para identificación por abordaje integral de por VCIPM</t>
  </si>
  <si>
    <t>CIAFI MEDELLÍN
•Cabina de secado: El Servicio de Antropología del INMLCF contaba con dos cabinas de secado, de las cuales una estaba destinada al proceso del CIAFI; no obstante, debido a una avería técnica, esta no puede continuar en uso. Actualmente, solo se dispone de una cabina de secado, la cual debe compartirse entre el proceso del CIAFI y los casos atendidos por el servicio para otras autoridades.
•Necesidad de modelos anatómicos: Es indispensable contar con un modelo anatómico del sistema esquelético humano para el desarrollo del proceso pericial por parte de antropólogos y médicos, dado su papel fundamental en el análisis de trayectorias y eventos asociados a los casos.
•Altas temperaturas y niveles de ruido en el CIAFI: Las condiciones ambientales del CIAFI, caracterizadas por altas temperaturas y elevados niveles de ruido provenientes de establecimientos vecinos, dificultan el adecuado desarrollo de los procesos de análisis realizados por los equipos de antropología y el personal médico.</t>
  </si>
  <si>
    <t>Durante el mes de marzo se abordaron 130 casos  en los CIAFIS UBPD:
CIAFI Medellín: 30 casos abordados
CIAFI Bogotá: 22  casos abordados
CAIFI Bucaramanga: 48  casos abordados
CIAFI Neiva:10  casos abordados
CIAFI Popayán:14  casos abordados
CIAFI Yopal:6  casos abordados</t>
  </si>
  <si>
    <t xml:space="preserve">Durante el mes de abril se abordaron 135 casos  en los CIAFIS UBPD:
CIAFI Medellín: 40 casos abordados
CIAFI Bogotá: 19 casos abordados
CAIFI Bucaramanga: 53 casos abordados
CIAFI Neiva:15  casos abordados
CIAFI Popayán:6 casos abordados
CIAFI Yopal: 2  casos abordados
</t>
  </si>
  <si>
    <t>Durante el mes de Mayo se abordaron 106 casos  en los CIAFIS UBPD:
CIAFI Medellín: 22 casos abordados
CIAFI Bogotá: 23 casos abordados
CAIFI Bucaramanga: 21 casos abordados
CIAFI Neiva:16  casos abordados
CIAFI Popayán:16 casos abordados
CIAFI Yopal: 8 casos abordados</t>
  </si>
  <si>
    <t xml:space="preserve">Informes Ejectivos CIAFIS
Base Unificada Nacional de CIAFIS
</t>
  </si>
  <si>
    <t>Subdirección Técnica Forense</t>
  </si>
  <si>
    <t>Subdirección General Técnica y Territorial</t>
  </si>
  <si>
    <t>L1-IAHE-019</t>
  </si>
  <si>
    <t xml:space="preserve">Seguimiento a los reportes de lo acecido 					</t>
  </si>
  <si>
    <t xml:space="preserve">Llevar el registro del seguimiento a los reportes de lo acaecido que pasan por proceso de revisión por parte de los expertos de identificación de la Dirección Técnica de Prospección, recuperación e identificación y son aprobados por el Subdirector Técnico Forense.								</t>
  </si>
  <si>
    <t xml:space="preserve">Llevar el registro del seguimiento a los reportes de lo acaecido consiste en documentar, actualizar y controlar de manera sistemática el estado de los informes que ingresan al proceso de revisión técnica por parte de los expertos en identificación de la Subdirección Técnica Forense, hasta su respectiva aprobación por el Subdirector Técnico Forense.
Operativamente, implica consolidar la información relacionada con la fecha de recepción, revisión, ajustes requeridos, validación técnica y aprobación final de cada reporte, garantizando trazabilidad, control de calidad y oportunidad en la emisión de los conceptos técnicos dentro del proceso de identificación.								</t>
  </si>
  <si>
    <t xml:space="preserve">∑=   reportes de lo acaecido remitidos por los GITT para revisión y aprobación por parte de la  STF / reportes de lo acaecido aprobados  por la STF							</t>
  </si>
  <si>
    <t xml:space="preserve">Total de reportes de lo acaecido remitidos por los GITT para revisión y aprobación por parte de la STF							</t>
  </si>
  <si>
    <t xml:space="preserve">Toral de reportes de lo acaecido aprobados por la STF							</t>
  </si>
  <si>
    <t xml:space="preserve">Reportes de lo acaecido generados por los GITT								</t>
  </si>
  <si>
    <t>Durante el primer bimestre de la vigencia 2026,  los expertos técnicos del grupo de identificación humana de la Subdirección Técnica Forense, realizó la revisión y aprobación de 12 reportes de lo acaecidos enviados por los Grupos Internos de Trabajo Territorial para ser entregados a familiares en las entregas dignas y reencuentros.</t>
  </si>
  <si>
    <t>Logros: 
 1. Mejoró la elaboración del reporte gracias a la interdisciplinariedad y articulación con los GITT.
 2. Aumento de número de reportes revisados. 
 Dificultades:
 1. Aún hay servidores que desconocen los formatos del SIG.
 2. Falta de debida planeación en los tiempos para la revisión (ej. programan entregas dignas sin tener el reporte revisado y aprobado).</t>
  </si>
  <si>
    <t>Durante el mes de marzo de 2026 ,  los expertos técnicos del grupo de identificación humana de la Subdirección Técnica Forense, realizó la revisión y aprobación de 11  reportes de lo acaecidos enviados por los Grupos Internos de Trabajo Territorial para ser entregados a familiares en las entregas dignas y reencuentros.</t>
  </si>
  <si>
    <t>Durante el mes de abril de 2026 ,  los expertos técnicos del grupo de identificación humana de la Subdirección Técnica Forense, realizó la revisión y aprobación de 23 reportes de lo acaecidos enviados por los Grupos Internos de Trabajo Territorial para ser entregados a familiares en las entregas dignas y reencuentros.</t>
  </si>
  <si>
    <t>Durante el mes de mayo de 2026 ,  los expertos técnicos del grupo de identificación humana de la Subdirección Técnica Forense, realizó la revisión y aprobación de 23 reportes de lo acaecidos enviados por los Grupos Internos de Trabajo Territorial para ser entregados a familiares en las entregas dignas y reencuentros.</t>
  </si>
  <si>
    <t>Reportes de lo acaecidos revisados y aprobados</t>
  </si>
  <si>
    <t>Línea 1. Investigación Humanitaria y Extrajudicial para la Búsqueda (Gestión de información e Investigación para la Búsqueda)</t>
  </si>
  <si>
    <t>Componente forense de la Investigación Humanitaria y Extrajudicial - IHE y las acciones de prospección y recuperación en terreno, fortalecido</t>
  </si>
  <si>
    <t>DTPRI</t>
  </si>
  <si>
    <t>L1-IAHE-020</t>
  </si>
  <si>
    <t>Asesorías técnico forenses realizadas para el trámite de acceso a lugares</t>
  </si>
  <si>
    <t>Realizar seguimiento a las acciones de soporte técnico en materia técnico forenses llevadas a cabo por la Dirección de Prospección, Recuperación e Identificación - DTPRI a los grupos de trabajo territorial para el cumplimiento de requisitos para el acceso a lugares.
Se define como la sumatoria de las asesorías técnico forenses realizadas a cada GITT durante el periodo de referencia.</t>
  </si>
  <si>
    <t>∑= Asesorías Técnico Forenses realizadas GITT i ….Asesorías Técnico Forenses Realizadas  GITTn</t>
  </si>
  <si>
    <t>Asesorías Técnico Forenses realizadas GITT i para el trámite de acceso a lugares</t>
  </si>
  <si>
    <t>Constancias de Asistencia Expedidas para aportantes de información</t>
  </si>
  <si>
    <t>DTIPLB/SAPLB</t>
  </si>
  <si>
    <t>L1-IAHE-021</t>
  </si>
  <si>
    <t>Determinar el número de constancias de asistencia expedidas por la UBPD en atención a los criterios establecidos para su expedición en relación al número de constancias de asistencia solicitadas por los aportantes</t>
  </si>
  <si>
    <t>(No. de constancias de asistencia expedidas/No. de constancias de asistencia solicitadas)*100</t>
  </si>
  <si>
    <t>No. de constancias de asistencia expedidas</t>
  </si>
  <si>
    <t>No de constancias de asistencia solicitadas</t>
  </si>
  <si>
    <t>L1-IAHE-022</t>
  </si>
  <si>
    <t>Valoraciones de acreditación expedidas para aportantes de información</t>
  </si>
  <si>
    <t>Determinar el número de valoraciones de acreditación expedidas por la UBPD en atención a los criterios establecidos para su expedición en relación al número de valoraciones de acreditación solicitadas por los aportantes</t>
  </si>
  <si>
    <t>(No. de valoraciones de acreditación expedidas/No. de constancias de asistencia solicitadas)*100</t>
  </si>
  <si>
    <t>No. de valoraciones de acreditación expedidas</t>
  </si>
  <si>
    <t>Número de valoraciones de acreditación solicitadas</t>
  </si>
  <si>
    <t>L1-IAHE-023</t>
  </si>
  <si>
    <t>Avance en las investigaciones humanitarias y extrajudiciales lideradas desde el nivel central</t>
  </si>
  <si>
    <t xml:space="preserve">Registra el avance en las investigaciones humanitarias y extrajudiciales  - IHE diseñadas y en desarrollo, lideradas por la SAPLB y coordinadas con los GITT. </t>
  </si>
  <si>
    <t>(Avances alcanzados en plan de trabajo de las investigaciones/Avances proyectado en planes de trabajo de las investigaciones)*100</t>
  </si>
  <si>
    <t>Avances alcanzados en plan de trabajo de las investigaciones</t>
  </si>
  <si>
    <t>Avances proyectados en plan de trabajo de las investigaciones</t>
  </si>
  <si>
    <t>L1-IAHE-024</t>
  </si>
  <si>
    <t>Avance en la intervención de sitios de interés forense</t>
  </si>
  <si>
    <t>Este indicador permite evidenciar aquellos lugares que son intervenidos mediante acciones de prospección y recuperación y que se encuentran inscritos dentro del RNFCIS en campo abierto y cementerio.
La intervención de la DTPRI a lugares, se refiere a acciones en el terreno aplicando procedimientos de prospección y recuperación, que permitan determinar el potencial forense de un sitio y la recuperación de cuerpos (o partes de cuerpos) de personas dadas por desaparecidas, para lo cual se adelantan las acciones humanitarias correspondientes.</t>
  </si>
  <si>
    <t xml:space="preserve">(Total de lugares intervenidos con acciones de prospección y recuperación / Total  de lugares proyectados intervenir en los planes de intervención propuestos por los GITT para la vigencia)*100 </t>
  </si>
  <si>
    <t>Total de lugares intervenidos con acciones de prospección y recuperación</t>
  </si>
  <si>
    <t>Total  de lugares proyectados intervenir en los planes de intervención propuestos por los GITT para la vigencia</t>
  </si>
  <si>
    <t xml:space="preserve">No aplica								</t>
  </si>
  <si>
    <t>L1-AHE-025</t>
  </si>
  <si>
    <t xml:space="preserve">Prospecciones intrusivas y no intrusivas realizadas      </t>
  </si>
  <si>
    <t xml:space="preserve">Este indicador busca evidenciar el avance en el proceso de búsqueda, de manera articulada e integral entre la STIH, los GITT y los equipos forenses en territorio, con respecto a la relación entre las localizaciones de personas presuntamente muertas y las prospecciones que es necesario realizar para poder comprobar o negar la existencia de sitios de interés de forense en los que pueden hallarse. Cada una de las hipótesis incluye la posible ubicación de una o varias personas dadas por desaparecidas presuntamente muertas. Tras su formulación, se requiere ir a terreno para realizar diligencias de prospección que permitan determinar si la hipótesis arroja o no un sitio de interés forense y así proceder, bien sea a reformular la hipótesis, o a realizar la recuperación de los cuerpos.
								</t>
  </si>
  <si>
    <t xml:space="preserve">Las prospecciones en la UBPD se entienden como el conjunto de procedimientos técnicos orientados a explorar y evaluar una zona específica con el fin de confirmar o descartar la existencia de un sitio de interés forense. Esta metodología emplea principalmente técnicas de la arqueología y la geofísica, integrando información contextual, análisis del paisaje y criterios técnicos especializados para orientar la toma de decisiones sobre la posible ubicación de sitios de disposición.
Operativamente, la prospección puede desarrollarse mediante técnicas intrusivas y no intrusivas. Las técnicas intrusivas implican la alteración controlada del terreno a través de excavaciones manuales o mecánicas (pozos de sondeo, cateos o trincheras) para identificar rasgos de origen antrópico asociados a posibles sitios de disposición. Las técnicas no intrusivas comprenden métodos que no modifican el terreno, como el reconocimiento visual pedestre, el uso de drones y análisis de imágenes aéreas o satelitales, así como técnicas geofísicas que permiten detectar anomalías subterráneas. Entre estas últimas se incluyen el georradar (GPR), la resistividad y conductividad eléctrica y la magnetometría, las cuales miden propiedades físicas del suelo para identificar perturbaciones compatibles con evidencias arqueológicas o forenses. La selección del método adecuado depende de factores como la topografía, la composición del suelo y las condiciones electromagnéticas del entorno, requiriendo una evaluación previa integral del área a intervenir.								</t>
  </si>
  <si>
    <t xml:space="preserve">(Número de prospecciones intrusivas y no intrusivas realizadas /Número de prospecciones proyectadas en los planes de intervención propuestos por los GITT para la vigencia 2026)*100 							</t>
  </si>
  <si>
    <t xml:space="preserve">Número de prospecciones intrusivas y no intrusivas realizadas 							</t>
  </si>
  <si>
    <t xml:space="preserve">Número de prospecciones intrusivas y no intrusivas proyectadas en los planes de intervención propuestos por los GITT para la vigencia 2026							</t>
  </si>
  <si>
    <t xml:space="preserve">Planes Regionales de Búsqueda
Informes Narrativos de IHE
Planes Metodológicos Forenses
Medidas Cautelares
Solicitudes de entidades externas para contribuir y/o coordinar
Solicitudes de búsqueda que llegan a la UBPD								</t>
  </si>
  <si>
    <t>Durante el primer bimestre de la vigencia 2026 los equipos forenses de territorio realizaron un total de 59 misiones asociados a planes regionales de búsqueda y autos proferidos por la JEPcon los siguientes resultados:
239 Prospecciones no intrusivas e intrusivas
226 Acciones de recuperación
243  Cuerpos recuperados</t>
  </si>
  <si>
    <t>Pronta contratación de los equipos forenses de territorio
Se aplazaron algunas misiones humanitarias por temas de seguridad.
Fortalecimiento del componente forense en la investigación y diseño de los PMF
Articulación entre el documento de Investigación y el PMF
Desarrollo de mesas técnicas que permitieron la participación de diversas áreas y disciplinas para la revisión de la documentación de los casos y propuestas metodológicas para el abordaje de escenarios complejos como cementerios.</t>
  </si>
  <si>
    <t>Durante el mes de marzo de 2026 los equipos forenses de territorio realizaron un total de 51 misiones asociados a planes regionales de búsqueda y autos proferidos por la JEPcon los siguientes resultados:
307 Prospecciones no intrusivas e intrusivas
248 Acciones de recuperación
237  Cuerpos recuperados</t>
  </si>
  <si>
    <t>Pronta contratación de los equipos forenses de territorio
Se aplazaron algunas misiones humanitarias por temas de seguridad.
Fortalecimiento del componente forense en la investigación y diseño de los PMF
Articulación entre el documento de Investigación y el PMF
Desarrollo de mesas técnicas que permitieron la participación de diversas áreas y disciplinas para la revisión de la documentación de los casos y propuestas metodológicas para el abordaje de escenarios complejos como cementerios</t>
  </si>
  <si>
    <t>Durante el mes de Mayo de 2026 los equipos forenses de territorio realizaron un total de 52 misiones asociados a planes regionales de búsqueda y autos proferidos por la JEPcon los siguientes resultados:
179 Prospecciones no intrusivas e intrusivas
127 Acciones de recuperación
113 Cuerpos recuperados</t>
  </si>
  <si>
    <r>
      <t xml:space="preserve">
</t>
    </r>
    <r>
      <rPr>
        <sz val="11"/>
        <color theme="1"/>
        <rFont val="Arial"/>
      </rPr>
      <t>Se aplazaron algunas misiones humanitarias por temas de seguridad por las elecciones presidenciales
Fortalecimiento del componente forense en la investigación y diseño de los PMF
Articulación entre el documento de Investigación y el PMF
Fortalecimiento en la calidad de los documentos forenses</t>
    </r>
  </si>
  <si>
    <t>Matriz con acciones humanitarias de prospección y recuperación unificada STF mayo 2026</t>
  </si>
  <si>
    <t>L1-IAHE-026</t>
  </si>
  <si>
    <t>Cuerpos recuperados</t>
  </si>
  <si>
    <t>Este indicador mide el número de cuerpos que la UBPD recupera en el marco de las hipótesis incluidas en los Informes Narrativos de Investigación, y Palnes Metodológicos Forenses,  así como aquellos derivados de hallazgos fortuitos en el desarrollo de acciones humanitarias. Refleja la eficacia institucional en la planificación e implementación de acciones orientadas a la localización y recuperación de personas dadas por desaparecidas. Se contabilizan las recuperaciones efectivamente realizadas en sitios previamente establecidos como puntos de interés forense o aquellas que ocurran en el marco de una intervención humanitaria, incluyendo cuerpos completos o partes de cuerpos.</t>
  </si>
  <si>
    <t>Se entiende por cuerpo recuperado todo cuerpo humano sin vida, completo o incompleto, independientemente de su estado de conservación (fresco, descompuesto, momificado, esqueletizado, entre otros), que es extraído del lugar donde fue ubicado.
Los cuerpos recuperados bajo la metodologia de verificación de correspondencia de información postmortem y examen forense preliminar suman al cumplimiento de la meta establecida para este indicador.</t>
  </si>
  <si>
    <t>∑=Número total de cuerpos o partes de cuerpos que son recuperados durante el desarrollo de las acciones humanitarias</t>
  </si>
  <si>
    <t>Número total de cuerpos o partes de cuerpos que son recuperados durante el desarrollo de las acciones humanitarias</t>
  </si>
  <si>
    <t>Número de cuerpos proyectados en los planes de intervención propuestos por los GITT para la vigencia 2026</t>
  </si>
  <si>
    <t>Mensual</t>
  </si>
  <si>
    <t>Número</t>
  </si>
  <si>
    <t xml:space="preserve">Planes Regionales de Búsqueda
Informes Narrativos de Investigación Humanitaria y Extrajudicial
Informes de prospección y recuperación elaborados por la STF
Medidas Cautelares
Solicitudes de entidades externas para contribuir y/o coordinar
Informes técnico forenses elaborados en articulación con otras entidades
Solicitudes de búsqueda que llegan a la UBPD								</t>
  </si>
  <si>
    <t>Durante el mes de Abril de 2026 los equipos forenses de territorio realizaron un total de 49 misiones asociados a planes regionales de búsqueda y autos proferidos por la JEPcon los siguientes resultados:
294 Prospecciones no intrusivas e intrusivas
194 Acciones de recuperación
182  Cuerpos recuperados</t>
  </si>
  <si>
    <r>
      <t xml:space="preserve">
</t>
    </r>
    <r>
      <rPr>
        <sz val="11"/>
        <color theme="1"/>
        <rFont val="Arial"/>
      </rPr>
      <t>Se aplazaron algunas misiones humanitarias por temas de seguridad por las elecciones presidenciales
Fortalecimiento del componente forense en la investigación y diseño de los PMF
Articulación entre el documento de Investigación y el PMF
Fortalecimiento en la calidad de los documentos forenses</t>
    </r>
  </si>
  <si>
    <t>SGTT</t>
  </si>
  <si>
    <t>L1-IAHE-027</t>
  </si>
  <si>
    <t>Equipos forenses en operación</t>
  </si>
  <si>
    <t>Realizar seguimiento al avance de las acciones para el fortalecimiento de la capacidad instalada de los GITT en el proceso de intervención de los sitios de interés forense, referidas a la conformación de equipos forenses en territorio (Antropólogo, Asistente Forense y Topógrafo).</t>
  </si>
  <si>
    <t>(No. equipos forenses en operación / No. equipos forenses proyectados) * 100</t>
  </si>
  <si>
    <t>No. equipos forenses en operación</t>
  </si>
  <si>
    <t>No. equipos forenses proyectados</t>
  </si>
  <si>
    <t>L1-IAHE-028</t>
  </si>
  <si>
    <t xml:space="preserve">Cuerpos abordados por los equipos interdisciplinarios de la UBPD,  bajo la metodología de Examen Forense Preliminar a  cadáveres recuperados de cementerios con fines de identificación					</t>
  </si>
  <si>
    <t xml:space="preserve">Realizar el seguimiento al avance del proceso de identificación impulsado por la UBPD mediante la aplicación de la metodología de  Examen Forense Preliminara cadáveres recuperados de cementerios con fines de identificación.								</t>
  </si>
  <si>
    <t xml:space="preserve">La metodología de Examen Forense Preliminar a cadáveres recuperados de cementerios con fines de identificación corresponde a un procedimiento técnico-forense que integra el análisis de la información previa disponible —como necropsias anteriores, registros del libro de inhumación y demás documentación asociada— junto con el contexto del caso y la experticia de los profesionales intervinientes. Su propósito es recolectar, verificar y documentar información post mortem relevante que contribuya al proceso de identificación, garantizando criterios de trazabilidad, individualización y rigor técnico-científico.
En su aplicación se debe documentar, como mínimo, la marcación del lugar de disposición, embalaje y cadáver; los elementos de trazabilidad (placas metálicas, rótulos institucionales, contenedores); la individualización mediante la determinación del Número Mínimo de Individuos (NMI) o la identificación de casos mezclados; el inventario de estructuras óseas y dentales; las prendas y elementos asociados; la construcción del perfil biológico (sexo, edad ósea, edad dental y estatura cuando sea posible); los signos de necropsia previa; el análisis diferencial entre lesiones traumáticas y hallazgos tafonómicos; y las características óseas y dentales individualizantes.								</t>
  </si>
  <si>
    <t xml:space="preserve">(Número de cuerpos abordados bajo la metodología de Examen Forense Preliminar en Cementerios/Total de cuerpos recuperados por la UBPD)  * 100							</t>
  </si>
  <si>
    <t>Número de cuerpos abordados bajo la metodología de Examen Forense Preliminar en Cementerios.</t>
  </si>
  <si>
    <t>Total de cuerpos recuperados por la UBPD</t>
  </si>
  <si>
    <t xml:space="preserve">Matriz con la Consolidación Cadáveres Exámen preliminar Cementerio IAH-FT-011								</t>
  </si>
  <si>
    <t>Durante el mes de enero y febrero se  abordaron 59 cuerpos bajo la metodologia de Examen Forense Preliminar en los siguientes Cementerios:
Cementerio Municipal de La Calera Cundinamarca:  3 cuerpos abordados
Cementerio de GuayabetalCundinamarca:  48 cuerpos abordados
Cementerio Municipal de Jardín Antioquia: 8 cuerpos abordados</t>
  </si>
  <si>
    <t>Durante el mes de Marzo 2026, se  abordaron 61 cuerpos bajo la metodologia de Examen Forense Preliminar en los siguientes Cementerios:
Cementerio San Joaquín Cauca:  1 cuerpo abordado
Cementerio San Miguel Arcángel Cauca:   1 cuerpo abordado
Cementerio Municipal de Caldas: 5 cuerpos abordados      
Cementerio Católico de Yotoco valle del Cauca:  2 cuerpos abordados
Cementerio municipal Jardines de Paz Antioquia: 52 cuerpos</t>
  </si>
  <si>
    <t xml:space="preserve">Durante el mes de Abril 2026, se  abordaron 16 cuerpos bajo la metodologia de Examen Forense Preliminar en los siguientes Cementerios:
Cementerio Municipal de Valparaíso -  Caquetá:   15 cuerpos abordados
Cementerio Municipal de El Bagre Antioquia:    1 cuerpo abordado
</t>
  </si>
  <si>
    <t>Durante el mes de Mayo 2026, se  abordaron 15 cuerpos bajo la metodologia de Examen Forense Preliminar en los siguientes Cementerios:
Cementerio Corregimental de Campo Capote Santander : 2 cuerpos abordados
CEMENTERIO DIOCESANO DE SOGAMOSO Boyaca :  6 cuerpos abordados
Cementerio Municipal de Betulia - Antioquia : 2 cuerpos abordados
CEMENTERIO PARROQUIAL NUESTRA SEÑORA DE LAS MERCEDES DE MONTEBELLO Antioquia: 2 cuerpos abordados
Finca La Cueva - Cesar : 1 cuerpo abordado
Fundación Parque Cementerio Jardines de Armenia : 2 cuerpos abordados</t>
  </si>
  <si>
    <t>Cifras Verificación de Correspondencia Post Mortem y Examen Preliminar Mayo 2026</t>
  </si>
  <si>
    <t>Estrategia misión identificación implementada</t>
  </si>
  <si>
    <t>L1-IAHE-029</t>
  </si>
  <si>
    <t>Análisis casos retrospectivos</t>
  </si>
  <si>
    <t>Realizar seguimiento al proceso de análisis y depuración de información entre los instrumentos diagnósticos y las variables del SIRDEC, con la finalidad de fortalecer la identificación de cuerpos</t>
  </si>
  <si>
    <t>(No. casos analizados / No. casos proyectados para analizar) * 100</t>
  </si>
  <si>
    <t>No. casos analizados</t>
  </si>
  <si>
    <t>No. casos incluidos en los instrumentos pendiente de análisis</t>
  </si>
  <si>
    <t>NA</t>
  </si>
  <si>
    <t>L1-IAHE-030</t>
  </si>
  <si>
    <t>Casos retrospectivos verificados</t>
  </si>
  <si>
    <t>Realizar seguimiento al proceso de verificación de la información de los casos categorizados en el instrumento diagnóstico asociados al conflicto para lograr su identificación</t>
  </si>
  <si>
    <t>(No. casos verificados / No. casos categorizados como asociados al conflicto armado) * 100</t>
  </si>
  <si>
    <t>No. casos verificados</t>
  </si>
  <si>
    <t>No. casos categorizados como asociados al conflicto armado</t>
  </si>
  <si>
    <t>L1-IAHE-031</t>
  </si>
  <si>
    <t>Casos retrospectivos identificados</t>
  </si>
  <si>
    <t>Conocer el número de casos que se identificaron a partir del instrumento diagnóstico</t>
  </si>
  <si>
    <t>(No. casos identificados asociados al conflicto armado/ No. casos verificados)* 100</t>
  </si>
  <si>
    <t>No. casos identificados asociados al conflicto armado</t>
  </si>
  <si>
    <t>L1-IAHE-032</t>
  </si>
  <si>
    <t>Necrodactilias sometidas a AFIS</t>
  </si>
  <si>
    <t>Realizar seguimiento al número de necrodactilias mejoradas y sometidas a AFIS (Sistema automatizado de identificación de huellas dactilares)</t>
  </si>
  <si>
    <t>(No. Necrodactilias sometidas a AFIS / No. Necrodactilias mejoradas) * 100</t>
  </si>
  <si>
    <t>No. Necrodactilias sometidas a AFIS</t>
  </si>
  <si>
    <t>No. Necrodactilias mejoradas</t>
  </si>
  <si>
    <t>L1-IAHE-033</t>
  </si>
  <si>
    <t>Coincidencias PDD en AFIS</t>
  </si>
  <si>
    <t>Realizar seguimiento al número de coincidencias que se obtienen en el procesamiento de las necrodactilias realizadas en el AFIS (Sistema automatizado de identificación de huellas dactilares) asociadas posiblemente a PDD</t>
  </si>
  <si>
    <t xml:space="preserve">(No. de HITs que cuentan con registro de desaparecido en SIRDEC / Total de HITS obtenidos) * 100
</t>
  </si>
  <si>
    <t>No. de HITs que cuentan con registro de desaparecido en SIRDEC</t>
  </si>
  <si>
    <t>Total de HITS obtenidos</t>
  </si>
  <si>
    <t>L1-IAHE-034</t>
  </si>
  <si>
    <t>Porcentaje de PDD con muestra asociada y tomada por la UBPD que hayan sido procesadas</t>
  </si>
  <si>
    <t>Realizar seguimiento al procesamiento de las muestras tomadas por la UBPD a familiares de Personas Dadas por Desaparecidas - PDD.</t>
  </si>
  <si>
    <t>(No. de personas dadas por desaparecidas que tienen muestra procesada y tomada por la UBPD/Total de personas dadas por desaparecidas con muestra asociada tomada por parte de la UBPD)*100</t>
  </si>
  <si>
    <t>No. personas dadas por desaparecidas que tienen muestra procesada y tomada por la UBPD</t>
  </si>
  <si>
    <t>Total de personas dadas por desaparecidas con muestra asociada tomada por parte de la UBPD</t>
  </si>
  <si>
    <t>L1-IAHE-035</t>
  </si>
  <si>
    <t>Coincidencias genéticas depuradas del Banco de Perfiles Genéticos de Desaparecidos - BPGD</t>
  </si>
  <si>
    <t>Determinar el número de cuerpos de PDD identificados a partir de coincidencias genéticas en el Banco de Perfiles Genéticos de Desaparecidos - BPGD</t>
  </si>
  <si>
    <t>(No. de coincidencias genéticas gestionadas / No. de coincidencias genéticas obtenidas en el BPGD) * 100</t>
  </si>
  <si>
    <t>No. de coincidencias genéticas gestionadas</t>
  </si>
  <si>
    <t>No. de coincidencias genéticas obtenidas en el BPGD</t>
  </si>
  <si>
    <t xml:space="preserve">L1-P2-IHE-2026 Sistema de Información Misional SIM Busquemos versión 2.0 Implementado								</t>
  </si>
  <si>
    <t>Grupo Interno de Trabajo Sistema de Información Misional</t>
  </si>
  <si>
    <t>L1-IAHE-036</t>
  </si>
  <si>
    <t>Avance implementacón SIM Busquemos Versón 2.0</t>
  </si>
  <si>
    <t>Realizar seguimiento a la ejecución del plan de acción establecido para la implementación del SIM</t>
  </si>
  <si>
    <t>Este indicador reporta el avance acumulativo en el desarrollo y despliegue de las funcionalidades planificadas como meta para las actualización del SIM en la presente vigencia. En este sentido, se atiende la definición e implementación de las reglas de negocio definidas en levantamiento con usuarios funcionales, la integración de los componentes y de los datos transferidos entre éstos y la automatización de reportes que agilicen la gestión de procesos sustentados en la información recabada en esta plataforma.</t>
  </si>
  <si>
    <t>Avances en el cronograma de trabajo</t>
  </si>
  <si>
    <t>Meta proyectada para la vigencia 2026</t>
  </si>
  <si>
    <t>Cronograma de trabajo establecido para el cumplimiento del indicador establecido en el PAI</t>
  </si>
  <si>
    <t xml:space="preserve">Durante los primeros dos meses del año, se ha finalizado el levantamiento de requerimientos para el módulo de Aportantes y se avanza en las sesiones para la consolidación del RNFCIS. Se ha definido el modelo para la implementación de las API entre los módulos del SIM y se han implementado las requeridas para la conexión entre el módulo Host y Aportantes.
Se ha completado la definición del diccionario de datos para Aportantes y se ha definido la arquitectura para la auditoría de usuarios en el SIM, en articulación con el servicio de histórico de datos.
Se han integrado las interfaces de entrada de datos geográficos en un servicio único y se han adelantado diseños para su incorporación dentro de los módulos del SIM y el consumo de datos automatizado desde capas provistas por entidades externas. </t>
  </si>
  <si>
    <t>Se ha conseguido formular una arquitectura robusta para el backend del SIM, mediante la incorporación de un modelo de microservicios soportado sobre una infraestructura de Kubernetes que ya se encuentra desplegada. Se ha creado el proyecto SIM 2.0 en Azure y se ha iniciado la documentación de historias de usuario, código y una Wiki con los estándares para el desarrollo en el SIM.
Se han actualizado los instrumentos para la captura de información dentro de una solución unificada implementada en Kobo.
Se ha elaborado la primera versión de plantilla de diseño UI para las interfaces del SIM, que parti cularmente se empleará en el módulo de Aportantes. Ya se cuenta con el modelo ER del módulo y se avanza en la implementación del servicio centralizado de vocabulario. Así mismo, ya se han desplegado en servidores los componentes del Archivo de DDHH y, particularmente, ya se ha parametrizado TemaTres para la incorporación del glosario de términos y el tesauro misional.
Es preciso resaltar también los avances en el diseño de la solución para la administración de fuentes de datos a partir de un catálogo que garantice la disposición de la información y la gobernanza de datos; actualmente se realizan pruebas con la herramienta OpenMetaData para la implementación de una solución robusta para el manejo de datos estructurados.</t>
  </si>
  <si>
    <t>Durante marzo de 2026 se consolidaron avances estructurales del SIM en tres frentes articulados. En el módulo de Aportantes se estabilizó la base informacional y operativa: ajustes al modelo entidad–relación y a las tablas, actualización de dominios paramétricos, diccionario de datos final, avances en el esquema de roles/permisos y definición de reglas de workflow, junto con la implementación del instrumento de captura para el registro desde los GIT. En paralelo, el Archivo Especial de DDHH avanzó en su puesta en marcha institucional, con servicios desplegados en infraestructura de la entidad, aplicación de estándares de acceso/visualización, automatización de flujos de preservación digital y disponibilidad inicial del tesauro misional y del catálogo de definiciones con un primer conjunto de términos y datos cargados. Finalmente, en infraestructura y arquitectura de datos se mantuvo el despliegue en Kubernetes, el proyecto SIM 2.0 en Azure y la implementación del catálogo para la gobernanza y disposición de datos, además del diseño del ambiente de preprocesamiento y la estandarización parcial de scripts para ingesta y normalización de fuentes externas (7/11).
Como avances en el despluegue e integración de funcionalidades, se avanzó en la consolidación de entregables transversales: evolución de interfaces UI/UX para Aportantes, fortalecimiento del servicio de vocabulario controlado, avances en la integración de componentes geoespaciales y documentales, levantamiento de requerimientos de reportes y conformación de expedientes desde la captura, como prototipo para la migración masiva de documentos al Archivo Especial. En módulos misionales, se reporta la reorganización de instrumentos y variables (RNFCIS y PDD), validación del modelo de cinco capas y su unificación en un servicio, automatización de ingesta desde capas externas y el desarrollo de aplicaciones funcionales, como el Informe Técnico Forense y su articulación con Prospección e información externa, junto con avances en el despliegue en pruebas de Búsqueda Inversa y el tablero de Participación.</t>
  </si>
  <si>
    <t>Se ha conseguido un avance significativo en la integración de herramientas y en el backend para el desarrollo del Módulo de Aportantes, como solución modular que se replicará en los módulos restantes.
Como alertas para planeación, persisten retrasos asociados al alistamiento de infraestructura y máquinas, así como incidentes de disponibilidad derivados de ajustes no coordinados en plataformas corporativas, con riesgo de afectación a la estabilidad por una distribución aún subóptima de servicios. Adicionalmente, se evidencian dificultades en el alistamiento documental previo a la migración al Archivo Especial, relacionadas con la organización y clasificación requerida para asegurar una incorporación ordenada y conforme a estándares.</t>
  </si>
  <si>
    <t>Durante el mes de abril de 2026, el SIM avanzó de manera significativa en la consolidación de sus componentes misionales y transversales, con un énfasis particular en las actividades en curso orientadas a la integración funcional del sistema. En el módulo de Aportantes, se destacan el desarrollo de interfaces, el despliegue e integración del servicio de vocabulario controlado, el ajuste de conexiones entre módulos vía API y la articulación entre herramientas semánticas y el diccionario de datos. En paralelo, se adelantan pruebas de migración documental hacia el Archivo Especial de DDHH (AtoM), así como la preparación de funcionalidades clave como la bandeja de usuario (Inbox) y la generación de reportes, configurando un entorno cada vez más interoperable y orientado a la gestión integral de la información.
En el Archivo Especial de DDHH, el trabajo en proceso se concentra en el despliegue en producción de herramientas, la implementación de flujos documentales en articulación con el módulo de Aportantes, la integración de Keycloak para la gestión de accesos a nivel de expediente y el desarrollo de APIs para la transferencia automatizada de documentos y metadatos hacia Archivematica. Este frente se fortalece con la consolidación del tesauro misional en TemaTres y su integración progresiva con el diccionario de datos, lo que permite avanzar hacia un ecosistema semántico robusto. De manera transversal, los servicios del SIM muestran una aceleración en el desarrollo de microservicios, particularmente en la bandeja de eventos (Inbox), el servicio de auditoría y la definición de reglas de calidad de datos, mientras se profundiza la integración de capacidades semánticas en el sistema.
Por su parte, en infraestructura, datos y módulos misionales, se desarrollan la arquitectura de integración en el marco transaccional, la configuración de entornos analíticos (Jupyter) y la estandarización de pipelines de ingesta. En el módulo del RNFCIS se avanza en el desarrollo de scripts de carga automatizada desde capas externas, la implementación de servicios geoespaciales personalizados y la reorganización de variables e interfaces, junto con la evaluación de algoritmos para la transformación y migración de datos. Finalmente, en los módulos complementarios, continúan los ajustes de aplicaciones como ITF y Genograma, la homologación del modelo de datos de cadáveres y el diseño de un prototipo del cuaderno de campo para investigadores, evidenciando un ecosistema en expansión que articula desarrollos tecnológicos, gestión de datos y apropiación operativa.</t>
  </si>
  <si>
    <t>Logros: 
Durante el período se consolidaron avances estructurales del SIM orientados a su integración funcional, destacándose el desarrollo de interfaces del módulo de Aportantes, la implementación progresiva de servicios transversales (vocabulario, Inbox, auditoría y calidad de datos) y la articulación con el Archivo Especial de DDHH mediante flujos documentales y pruebas de migración. En paralelo, se fortaleció el componente semántico con la consolidación del tesauro misional y su alineación con el diccionario de datos, así como el desarrollo de pipelines de ingesta e integración de fuentes en el módulo RNFCIS.
Dificultades:
No obstante lo anterior, estos avances se han visto afectados por retrasos en el despliegue de infraestructura, limitaciones en la gestión de accesos y dependencias técnicas externas, así como por ajustes metodológicos en instrumentos y modelos de datos. Adicionalmente, se identifican riesgos asociados a la calidad y preparación de la información para procesos de migración, particularmente de los datos registrados en el RNFCIS. En conjunto, el proyecto mantiene una trayectoria de avance sostenido, pero requiere estabilizar su base de infraestructura, agilizar los trámites de seguridad y mantener una articulación efectiva con TI para garantizar un avance más eficiente en sus actividades.</t>
  </si>
  <si>
    <t xml:space="preserve">Durante el mes de mayo se alcanzó un hito relevante en el desarrollo del SIM 2.0, con la integración y despliegue en ambiente de pruebas de la primera versión del Módulo de Aportantes. Este avance fue posible gracias a la finalización de tareas nodales para la consolidación de la arquitectura del sistema: configuración y despliegue de los ambientes de trabajo sobre infraestructura Kubernetes; la finalización de APIs e integración con los componentes documental y geográfico, mediante conexiones con Archivematica y ArcGIS; avances significativos en la configuración de Keycloak para la gestión centralizada de usuarios; desarrollo del frontend y finalización del backend de la ventana de notificaciones; integración con los microservicios de vocabulario controlado y auditoría; incorporación de la ventana de seguimiento y cuidado a las personas fuentes de información; e integración con la landing page del sistema. Como resultado, se dispone de una versión desplegada en infraestructura y lista para el inicio de pruebas técnicas y funcionales.
De manera simultánea, se desplegó para usuarios finales la Aplicación del Acta Informe Técnico Forense y se avanza en una segunda versión que incorporará el diagrama interactivo de lesiones, junto con ajustes al modelo de datos e interfaces orientados a la futura disposición del Módulo de Prospección. Esta ruta incluye el diseño de una ventana de entrada de datos geoespaciales y la sistematización de la fase de autorización de accesos a lugar. 
Complementariamente, se retomaron las actividades para la elaboración del Módulo de Cadáveres, mediante la validación del modelo de datos derivado del consumo de vistas del INML, la verificación de variables para su homologación con herramientas internas que gestionan información sobre cuerpos, así como la elaboración de un primer diagrama lógico de fuentes, que servirá como base para el proceso de integración.
En relación con los módulos RNFCIS y PDD/PB, se definió un primer conjunto de requerimientos y se elaboraron matrices de agrupamiento de variables; insumos que facilitarán el diseño de interfaces y de los modelos entidad–relación correspondientes. Asimismo, se avanzó de manera significativa en la integración del modelo semántico para la gestión de conceptos y variables, articulando los módulos del SIM con instrumentos misionales de lenguaje controlado a través del diccionario de datos y del microservicio de vocabulario. Este avance fortalece la estandarización conceptual, la calidad del dato y la interoperabilidad entre componentes del ecosistema SIM.
Finalmente, se logró definir e implementar la ruta completa para la gestión de conjuntos de datos, desde su recepción o captura hasta su disposición para la investigación y el consumo por parte de usuarios misionales. Este flujo integra un espacio colaborativo de procesamiento de información en Jupyter, repositorio de código en Azure DevOps, almacenamiento en datalake y catalogación para versionamiento y gobierno en OpenMetadata, articulados mediante APIs y agentes. Adicionalmente, se realizó con éxito la segunda validación de la aplicación de Genogramas, confirmando su eficacia para representar linajes complejos y su capacidad para exportar resultados en formatos útiles para las necesidades misionales.
</t>
  </si>
  <si>
    <t xml:space="preserve">Como resultado de un intenso período de investigación, pruebas y experimentación de diferentes tecnologías, se ha conseguido desplegar en pruebas el Módulo de Aportantes. Este logro representa un hito muy relevante en el proceso de actualización del SIM, pues implica la consolidacion de la arquitectura y la definición de un modelo de interoperabilidad entre servicios que será evolucionado iterativamente para la implentación de los módulos restantes del SIM.                                                                </t>
  </si>
  <si>
    <t>L1-IAHE-037</t>
  </si>
  <si>
    <t>L1-IAHE-038</t>
  </si>
  <si>
    <t>L1-IAHE-039</t>
  </si>
  <si>
    <t xml:space="preserve">Tasa de identificación de cuerpos en relación al número de coincidencias de Necrodactilias sometidas a AFIS					</t>
  </si>
  <si>
    <t xml:space="preserve">Realizar seguimiento al número de coincidencias obtenidas en el procesamiento de necrodactilias en el AFIS (Sistema Automatizado de Identificación de Huellas Dactilares) asociadas posiblemente a personas dadas por desaparecidas (PDD) consiste en registrar, consolidar y analizar los resultados derivados del cotejo automatizado de impresiones dactilares post mortem frente a las bases de datos disponibles.
Operativamente, el indicador contempla: (i) el número de necrodactilias sometidas a procesamiento en el sistema AFIS y (ii) el total de HITS o coincidencias generadas por el sistema como posibles correspondencias. Este seguimiento permite medir la efectividad del uso de herramientas biométricas en el proceso de identificación, así como realizar control y trazabilidad sobre los resultados obtenidos y su posterior validación técnica.								</t>
  </si>
  <si>
    <t xml:space="preserve">Necrodactilia: Es el procedimiento técnico mediante el cual se obtienen las impresiones dactilares de una persona fallecida. Puede realizarse en diferentes estados de conservación del cuerpo (fresco, descompuesto, momificado, entre otros) y requiere técnicas especializadas para lograr una impresión legible. Las necrodactilias constituyen un insumo biométrico clave en los procesos de identificación humana.
AFIS (Sistema Automatizado de Identificación de Huellas Dactilares): Es una herramienta tecnológica que permite comparar de manera automatizada huellas dactilares contra bases de datos existentes. El sistema analiza características únicas de las huellas (minucias), como bifurcaciones y terminaciones de crestas papilares, generando posibles coincidencias según niveles de similitud previamente establecidos.
HIT: Es el resultado que arroja el sistema AFIS cuando identifica una posible coincidencia entre la huella ingresada (en este caso, necrodactilia) y un registro almacenado en la base de datos. El HIT no constituye por sí mismo una identificación plena, sino una coincidencia preliminar que debe ser objeto de verificación y validación técnica por un experto en lofoscopia.								</t>
  </si>
  <si>
    <t xml:space="preserve">(Número de Necrodactilias sometidas a AFIS  / Total de HITS obtenidos) *100 							</t>
  </si>
  <si>
    <t xml:space="preserve"> Número de Necrodactilias sometidas a AFIS  							</t>
  </si>
  <si>
    <t xml:space="preserve">Total de HITS obtenidos							</t>
  </si>
  <si>
    <t>Base de datos Necrodactilias</t>
  </si>
  <si>
    <t>Nuevo</t>
  </si>
  <si>
    <t xml:space="preserve">Durante los meses de enero y febrero se llevó a cabo la fase de preparación y elaboración del plan de trabajo del proyecto localización y procesamiento de necrodactilias dado que durante el año 2025 el INMLCF comunicó a la UBPD que no dispone de más necrodactilias en el marco del Convenio 01 (Convenio Interadministrativo de Cooperación celebrado entre el Ministerio del Interior y Justicia - Dirección de Derechos Humanos, la Registraduría Nacional del Estado Civil y el Instituto Nacional de Medicina Legal y Ciencias Forenses, suscrito en Bogotá el 26 de octubre de 2010, para la identificación de cadáveres, especialmente en casos de personas desaparecidas, utilizando técnicas de necrodactilia (identificación mediante huellas dactilares)
Ante este escenario se ajustó la línea estratégica enfocando los esfuerzos del equipo en el procesamiento de las necrodactilias aportadas por equipos de trabajo de la UBPD (equipos forenses de nivel nacional y territorial, equipos de abordaje en los diferentes Centros Integrales de Abordaje Forense e Identificación (CIAFIS), Grupos Internos de Trabajo Territorial y Grupos Internos de Trabajo Regional). 
Asimismo, se realizó la gestión para la renovación del convenio con la Registraduría Nacional del Estado Civil (RNEC) para dar continuidad al procesamiento de las necrodactilias en el punto AFIS autorizado, se continuó el registro de información en la base de datos correspondiente (una vez se cuente con la reactivación de los usuarios de SIRDEC para los contratistas se llevará a cabo la respectiva actualización del Registro Nacional de Desaparecidos con las acciones desarrolladas). </t>
  </si>
  <si>
    <t xml:space="preserve">Logros:
- Se logró dar continuidad a la recepción, mejora y procesamiento de necrodactilias aportadas por los diferentes equipos de trabajo de la UBPD.
- Se logró reactivar las actividades desde el punto AFIS brindado por la RNEC a la UBPD. 
- En el mes de febrero se sometieron a AFIS 450 necrodactilias. 
- En el mes de enero se mejoraron 26 necrodactilias aportadas por e los equipos forenses de nivel territorial y nacional, mientras que en el mes de febrero se mejoraron 11 necrodactilias más, para un total de 37.
Dificultades:
- La reactivación de los perfiles de usuario en SIRDEC para los contratistas aún se encuentra en espera. 
- Limitaciones en el nivel de acceso del dactiloscopista al módulo de lofoscopia en SIRDEC situación que ya se ha comunicado  a la SGTT de la UBPD y se ha reiterado a la Subdirección de Servicios Foreses del INMLCF sin lograr resultados satisfactorios hasta el momento. 
- Los tiempos de respuesta por parte del INMLCF para la emisión de informes de lofoscopia de los HIT obtenidos por la UBPD con prolongados. 
- Hasta la fecha no se ha logrado obtener respuesta por parte del INMLCF respecto a las consultas de casos que no se encuentran registrados en el SIRDEC (casos BOG, DAC y no encontrados), esta acción permitiría orientar si 4028 casos con necrodactilia mejorada corresponden o no a la competencia de la UBPD, ya que la UBPD no dispone información que permita aclarar este aspecto.
</t>
  </si>
  <si>
    <t>El periodo se destaca por la renovación en el acceso al sistema de información SIRDEC por parte de los contratistas del proyecto. Este avance administrativo permitió:
1. Alta productividad en el procesamiento: La inserción de 401 casos en el sistema CCT/AFIS demuestra un ritmo operativo sólido.
2. Resultados de identificación: Aunque la tasa de "Hits" positivos (9 frente a 392 negativos) pueda parecer baja, cada coincidencia representa un avance importante en la misión humanitaria de búsqueda.
3. Trazabilidad y Calidad: El seguimiento detallado de 23 casos en SIRDEC y la mejora técnica de 14 tarjetas necrodactilares aseguran que la información cargada cumpla con los estándares necesarios para futuras identificaciones.
Más allá del procesamiento masivo de datos, el equipo demostró la posibilidad de impulsar casos complejos como el tratamiento de pulpejos en un caso con tejidos blandos en el CIAFI de Bogotá, el cual es un logro técnico relevante, ya que permite obtener información lofoscópica en condiciones donde los métodos estándar fallarían.
Gestión de Represamiento: La impresión y encuadre de 145 tarjetas adicionales prepara el terreno para evacuar casos pendientes, mostrando una planeación orientada a la reducción de brechas en el procesamiento.
Se identifican situaciones externas que afectan el cumplimiento de las metas, centrados principalmente en: 
1. Barreras de Acceso al módulo de lofoscopia en el SIRDEC. A pesar de las reiteradas comunicaciones al INMLCF desde la STF y desde la SGTT, la falta de resolución afecta la autonomía y agilidad del proceso. 
2. Oportunidad de mejora en la agilidad de emisión de informes de lofoscopia: Los tiempos prolongados para la emisión de informes de lofoscopia por parte del INMLCF retrasan la validación oficial de los "Hits" obtenidos por la UBPD, dilatando la respuesta a las familias.
I3. Solicitudes pendientes de respuesta: El punto más crítico es la falta de respuesta sobre 4.028 casos con necrodactilia mejorada. Sin la claridad del INMLCF sobre si estos registros existen o no en SIRDEC, la UBPD se encuentra en un "punto ciego" informativo que impide determinar si estos casos entran en su ámbito de competencia.
La gestión muestra un equipo técnico altamente eficiente y capaz de realizar intervenciones forenses de alta complejidad. Sin embargo, el impacto del indicador se encuentra actualmente limitado por factores externos. 
La resolución de los problemas de acceso al módulo de lofoscopia de SIRDEC y la obtención de respuestas oportunas son gestiones de nivel estratégico que se requieren para impulsar los resultados para la vigencia 2026.</t>
  </si>
  <si>
    <t>Logros:
- Se logró la reactivación de los perfiles de usuario en SIRDEC para los contratistas. 
- Casos sometidos a CCT / AFIS: Se insertaron 401 casos en el CCT / AFIS.
- De estos, se obtuvieron 9 Hit Positivos y 392 Hit Negativos.
- Casos mejorados: Se mejoraron y enviaron al dactiloscopista un total de 14 tarjetas necrodactilares solicitadas por los equipos de trabajo de la UBPD.
- Seguimientos en SIRDEC: Se realizaron 23 seguimientos en el SIRDEC, lo que incluye cargar la imagen mejorada de la necrodactilia, el resultado (Hit o No Hit), y finalizar el seguimiento de la inserción al CCT de la Registraduría.
- Actividades Adicionales: 
   a. Se encuadraron e imprimieron 145 tarjetas necrodactilares para casos pendientes de someter al CCT de la Registraduría.
   b. Tratamiento de Pulpejos: Se realizó el tratamiento de pulpejos (limpieza, hidratación, recuperación y toma de necrodactilia) en el CIAFI de Bogotá para un caso con que contaba aún con tejidos blandos
Dificultades:
- Limitaciones en el nivel de acceso del dactiloscopista al módulo de lofoscopia en SIRDEC situación que ya se ha comunicado  a la SGTT de la UBPD y se ha reiterado a la Subdirección de Servicios Foreses del INMLCF sin lograr resultados satisfactorios hasta el momento. 
- Los tiempos de respuesta por parte del INMLCF para la emisión de informes de lofoscopia de los HIT obtenidos por la UBPD con prolongados. 
- Hasta la fecha no se ha logrado obtener respuesta por parte del INMLCF respecto a las consultas de casos que no se encuentran registrados en el SIRDEC (casos BOG, DAC y no encontrados), esta acción permitiría orientar si 4028 casos con necrodactilia mejorada corresponden o no a la competencia de la UBPD, ya que la UBPD no dispone información que permita aclarar este aspecto.</t>
  </si>
  <si>
    <t>El proyecto de necrodactilias mantuvo un ritmo de procesamiento constante durante el mes de abril:
Se insertó un total de 448 casos en el sistema CCT/AFIS, lo que representa un aumento respecto a los 401 casos gestionados en el periodo anterior. De esta inserción, se obtuvieron 11 Hits Positivos, superando el número de hits obtenidos el mes anterior. 
En la tareas de apoyo y mejoramiento, se procesó un total de 11 necrodactilias a partir de solicitudes de los equipos de trabajo de la UBPD, una cifra que se mantiene consistente con el apoyo técnico proporcionado. 
Se destaca una gestión significativa en la preparación de material pendiente, con la impresión y encuadre de 806 tarjetas necrodactilares adicionales, una tarea que se espera que contibuya al impulso a la identificación de cadáveres no identificados (CNI) en el país.  
Finalmente, se ha mantenido trazabilidad de las acciones realizadas, con 10 seguimientos en SIRDEC y su respectivo registro en la matriz del proyecto.</t>
  </si>
  <si>
    <t>Logros:
- Rendimiento en Procesamiento y Resultados: Se logró la inserción de 448 casos en CCT/AFIS y la obtención de 11 Hits Positivos, lo que demuestra un ritmo operativo sostenido y un aumento en los resultados de identificación en comparación con el mes anterior.
- Apoyo Técnico y Calidad: Se realizó de forma efectiva la mejora de 11 necrodactilias aportadas por equipos de trabajo de la UBPD.
- Avance en la Reducción de Brechas: Se realizó la impresión y encuadre de 806 tarjetas necrodactilares pendientes por someter a AFIS.
Factores Limitantes y Retos Estratégicos (Dificultades):
Los indicadores y el impacto del trabajo técnico continúan limitados por factores externos, tal como se identificó en el mes anterior:
- Acceso Restringido al Módulo de Lofoscopia en SIRDEC: Persiste la falta de acceso del dactiloscopista al módulo de Lofoscopia en SIRDEC, a pesar de las comunicaciones reiteradas desde la UBPD hacia la Subdirección de Servicios Forenses del INMLCF. Esta situación impide la autonomía del proceso, ya que la emisión de informes de lofoscopia está supeditada a estas autorizaciones y a la disponibilidad de un perito revisor.
- Tiempos Prolongados en la Emisión de Informes: Los tiempos de respuesta por parte del INMLCF para la emisión de informes de lofoscopia de los Hits obtenidos por la UBPD se mantienen prolongados, lo cual retrasa la conclusión del proceso en el sistema de información. 
- Falta de Respuesta del INMLCF a necesidades del proyecto: No se ha logrado obtener respuesta del INMLCF respecto a las consultas de casos no registrados en SIRDEC (casos BOG y DAC). Esta carencia de información impide a la UBPD orientar si 4.028 casos con necrodactilia mejorada corresponden o no a su ámbito de competencia.</t>
  </si>
  <si>
    <t>El proyecto mantuvo un ritmo constante en la inserción de casos, superando ligeramente las cifras de abril, y demostró un incremento en el apoyo técnico a los equipos de la UBPD y en la trazabilidad de acciones: Casos insertados en CCT/AFIS: Se insertó un total de 452 casos en el sistema CCT/AFIS, superando los 448 casos gestionados en abril. Hits Positivos: Se obtuvieron 6 Hits Positivos, lo que representa una disminución respecto a los 11 obtenidos en abril. Apoyo Técnico (Necrodactilias mejoradas): Se mejoraron 32 necrodactilias a partir de solicitudes de los equipos de trabajo de la UBPD, un aumento considerable comparado con las 11 procesadas en abril. Preparación de Material (Impresión y Encuadre): Se realizó el encuadre de 646 necrodactilias. Trazabilidad (Seguimientos en SIRDEC): Se realizaron 47 seguimientos en SIRDEC, lo que representa un aumento significativo respecto al número de seguimientos registrados en abril.</t>
  </si>
  <si>
    <t>Logros
- Rendimiento en Procesamiento y Resultados: Se logró la inserción de 452 casos en CCT/AFIS, manteniendo un ritmo operativo sostenido y superando la cantidad de casos insertados en el periodo anterior (448).
- Apoyo Técnico y Calidad: Se incrementó sustancialmente el apoyo técnico, mejorando 32 necrodactilias aportadas por equipos de trabajo de la UBPD, frente a las 11 mejoradas en abril.
- Avance en la Reducción de Brechas: Se continuó con la preparación de material pendiente, realizando el encuadre e impresión de 646 tarjetas necrodactilares.
- Trazabilidad y Control: Se registró un aumento en la trazabilidad de las acciones realizadas, con un total de 47 seguimientos documentados en SIRDEC.
- Acuerdo Institucional: Como resultado de la comunicación de las limitaciones, las directivas de la UBPD y el INMLCF ratificaron que el laboratorio de Lofoscopia del INMLCF asumirá la elaboración de los informes en los casos de Hits positivos.
Factores Limitantes y Retos Estratégicos (Dificultades)
Los indicadores y el impacto del trabajo técnico continúan limitados por factores externos ya identificados previamente:
- Acceso Restringido al Módulo de Lofoscopia en SIRDEC: Persiste la dependencia de la disponibilidad de los peritos del INMLCF para la emisión de informes.
- Falta de Respuesta del INMLCF a necesidades del proyecto: No se obtuvo respuesta del Instituto Nacional de Medicina Legal y Ciencias Forenses (INMLCF) respecto a las consultas de casos no registrados en SIRDEC (casos BOG y DAC). Esta carencia de información impide a la UBPD orientar si 4.028 casos con necrodactilia mejorada corresponden o no a su ámbito de competencia.</t>
  </si>
  <si>
    <t>L1-IAHE-040</t>
  </si>
  <si>
    <t>Tasa de identificación de cuerpos recuperados por la UBPD u otras entidades por acciones de impulso genético al proceso de identificación de cuerpos</t>
  </si>
  <si>
    <t xml:space="preserve">Este indicador mide la proporción de cuerpos recuperados por la UBPD u otras entidades que alcanzan identificación como resultado de acciones de impulso al proceso de identificación por genética. Su propósito es evaluar la efectividad de las gestiones técnicas orientadas a dinamizar el análisis y la comparación genética dentro del proceso de identificación de personas dadas por desaparecidas (PDD).
Operativamente, la tasa se calcula como la relación porcentual entre el número de cuerpos identificados mediante análisis genético, derivados de acciones de impulso, y el total de cuerpos recuperados susceptibles de análisis genético en un periodo determinado. Para su medición, se consideran como acciones de impulso: (i) la gestión de coincidencias genéticas halladas en el Banco de Perfiles Genéticos de Desaparecidos (BPGD); (ii) las acciones técnicas y administrativas relacionadas con el fortalecimiento, actualización o ampliación de información en el BPGD; y (iii) el seguimiento y reporte de avances en los procesos de identificación por genética. Este indicador permite evidenciar el aporte de la gestión genética al esclarecimiento de identidades y al cumplimiento de las metas institucionales								</t>
  </si>
  <si>
    <t xml:space="preserve">Cotejo genético: procedimiento técnico-científico de comparación de perfiles genéticos. Con respecto a su uso en identificación forense, existen tres formas de hacer el cotejo: i) cotejo directo con muestras biológicas o ADN extraído de objetos o prendas personales del desaparecido, ii) cotejo con muestras biológicas de familiares de una PDD y iii) cotejo con base de datos.
Banco de Perfiles Genéticos de Desaparecidos (BPGD): sistema de almacenamiento, registrado en la plataforma informática CODIS (Combined DNA Index System), conformado por perfiles genéticos obtenidos de las personas, cadáveres o estructuras óseas de las víctimas de desaparición y de las muestras biológicas de referencia tomadas a los familiares de éstas. Fue creado y reglamentado por la Ley 1408 de 2010 y el Decreto 0303 del 2015 y tiene como objeto, la administración y procesamiento de la información de los perfiles genéticos, mediante la indexación, organización, centralización, almacenamiento y cruce de información para la identificación de las personas desaparecidas (Ley 1408, 2010, Arts. 2 y 4 y Decreto 303, 2015, art. 4).
Seguimiento al proceso de identificación por genética: Acción sistemática de verificación, control y actualización del estado de los casos en análisis genético, incluyendo tiempos de procesamiento, resultados obtenidos, validaciones técnicas y emisión de informes periciales.								</t>
  </si>
  <si>
    <t xml:space="preserve">Número de autobúsquedas gestionadas  + Número de acciones realizadas en el BPGD +  Número de acciones realizadas para el seguimiento y avances en el proceso de identificación por genética de cuerpos recuperados por la UBPD + Número de acciones realizadas para el seguimiento y avances en el proceso de identificación por genética de cuerpos recuperados por otras entidades y solicitudes de búsqueda UBPD.							</t>
  </si>
  <si>
    <t xml:space="preserve">Número de autobúsquedas gestionadas </t>
  </si>
  <si>
    <t xml:space="preserve">Número de acciones realizadas en el BPGD                                </t>
  </si>
  <si>
    <t>Número de acciones realizadas para el seguimiento y avances en el proceso de identificación por genética de cuerpos recuperados por la UBPD</t>
  </si>
  <si>
    <t xml:space="preserve">Número de acciones realizadas para el seguimiento y avances en el proceso de identificación por genética de cuerpos recuperados por otras entidades y solicitudes de búsqueda UBPD.                        </t>
  </si>
  <si>
    <t xml:space="preserve">Matriz Gestión de casos Génetica UBPD-INMLCF								</t>
  </si>
  <si>
    <t>No tiene</t>
  </si>
  <si>
    <t>1. Se gestionaron cincuenta y dos (52) coincidencias durante los meses de enero y febrero relacionadas con 43 cuerpos recuperados por las entidades del estado (UBPD, FGN, JEP, DIJIN)
2. Una (1) acción relacionada con el Banco de Perfiles Genéticos de desaparecidos (BPGD) para este periodo
3. Ochenta (80) acciones para impulsar el proceso de identificación de cincuenta y cuatro cuerpos (54) cuerpos recuperados por la UBPD
4. Quince (15) acciones de impulso al proceso de identificación de cuerpos recuperados por otras entidades o relacionados con solicitudes de búsqueda UBPD.</t>
  </si>
  <si>
    <t xml:space="preserve">1. Las 52 coincidencias gestionadas halladas por autobusquedas se relacionan con 43 cuerpos, de los cuales:
     - 2 son producto de coincidencias al azar
     - 30 cuerpos con coincidencias verificadas, las cuales se informaron y se inició proceso de identificación
     - 11 cuerpos identificados de los gestionados durante estos meses de enero y febrero 
Adicionalmente, se realizó seguimiento al proceso de identificación de cuerpos con coincidencias verificadas y gestionadas en meses anteriores, de los cuales se halló información de 5 nuevos cuerpos identificados. 
2. De los cuerpos recuperados por la UBPD:
   -  6 cuerpos identificados durante este período, a partir del impulso a proceso de identificación 
3. Para los meses de enero y feberero los contratistas de la UBPD, asignados a los laboratorios de Genética del INMLCF apoyaron con los procesos que se describen a continuación:
- Procesamiento de un total de 450 muestras biológicas de familiares (270 Medellín y  180 en Bogotá)
- Procesamiento de 22 Restos óseos en total (22 en Villavicencio)
- Lavado y pulverización de 40 Restos óseos en total (33 Medellín y 7 en Bogotá) 
- Creación de pedigrees en el BPGD 1032
- Registro y administración de 599 casos dentro del sistema de información SIFMELCO (152 en Medellín y 447 en Bogotá) </t>
  </si>
  <si>
    <t>1. Se gestionaron Dieciocho (18) coincidencias durante el mes de marzo relacionadas con 8 cuerpos recuperados por las entidades del estado (UBPD, FGN, JEP, DIJIN)
2. Cuatro (4) acciones relacionadas con el Banco de Perfiles Genéticos de desaparecidos (BPGD) para este periodo
3. Sesenta y dos (62) acciones para impulsar el proceso de identificación de cincuenta y seis cuerpos (56) cuerpos recuperados por la UBPD
4. Diecisiete (17) acciones de impulso al proceso de identificación de cuerpos recuperados por otras entidades o relacionados con solicitudes de búsqueda UBPD.</t>
  </si>
  <si>
    <t xml:space="preserve">1. Las 18 coincidencias gestionadas halladas por autobusquedas se relacionan con 8 cuerpos, de los cuales:
     - 5 cuerpos con coincidencias verificadas, las cuales se informaron y se inició proceso de identificación
     - 2 cuerpos identificados de los gestionados durante este mes de marzo 
     - 1 No gestionado por no ser de comptencia d ela UBPD
Adicionalmente, se realizó seguimiento al proceso de identificación de cuerpos con coincidencias verificadas y gestionadas en meses anteriores, de los cuales se halló información de 2 nuevos cuerpos identificados. 
2. De los cuerpos recuperados por la UBPD:
   -  20 cuerpos identificados durante este período, a partir del impulso a proceso de identificación 
3. Para el mes de marzo los contratistas de la UBPD, asignados a los laboratorios de Genética del INMLCF apoyaron con los procesos que se describen a continuación:
- Procesamiento de un total de 408 muestras biológicas de familiares (266 Medellín y  142 en Bogotá)
- Procesamiento de 22 Restos óseos en total (22 en Villavicencio)
- Lavado y pulverización de 103 Restos óseos en total (21 Villavicencio y 82 en Bogotá) 
- Creación de pedigrees en el BPGD 537
- Registro y administración de 496 casos dentro del sistema de información SIFMELCO (300 en Medellín y 196 en Bogotá) </t>
  </si>
  <si>
    <t xml:space="preserve">
1. Se gestionaron Dieciocho (18) coincidencias durante el mes de marzo relacionadas con 8 cuerpos recuperados por las entidades del estado (UBPD, FGN, JEP, DIJIN)
2. Cuatro (4) acciones relacionadas con el Banco de Perfiles Genéticos de desaparecidos (BPGD) para este periodo
3. Sesenta y dos (62) acciones para impulsar el proceso de identificación de cincuenta y seis cuerpos (56) cuerpos recuperados por la UBPD
4. Diecisiete (17) acciones de impulso al proceso de identificación de cuerpos recuperados por otras entidades o relacionados con solicitudes de búsqueda UBPD.</t>
  </si>
  <si>
    <t>Línea 2. Gestión del conocimiento y preservación de memoria</t>
  </si>
  <si>
    <t>L2-GCN-001</t>
  </si>
  <si>
    <t>Espacios Fortalecimiento de Capacidades</t>
  </si>
  <si>
    <t>Realizar seguimiento a las acciones de fortalecimiento de capacidades adelantadas por las dependencias de la UBPD que involucren tanto a actores internos como externos y que NO hagan parte de la programación del Plan Institucional de Capacitación PIC</t>
  </si>
  <si>
    <t>∑= V1t… V3t</t>
  </si>
  <si>
    <t>No. de espacios</t>
  </si>
  <si>
    <t>No. de personas capacitadas por externos</t>
  </si>
  <si>
    <t>No. de personas capacitadas por internos</t>
  </si>
  <si>
    <t>Semestral</t>
  </si>
  <si>
    <t>L2-GCN-002</t>
  </si>
  <si>
    <t>Solicitudes atendidas por LIBU mediante el uso de sus herramientas de innovación</t>
  </si>
  <si>
    <t>Medir la pertinencia de LIBU al interior de la UBPD</t>
  </si>
  <si>
    <t>(No. de solicitudes - retos de innovación atendidas por el LIBU con sus herramientas/No. de solicitudes - retos de innovación)*100</t>
  </si>
  <si>
    <t>No. de solicitudes - retos de innovación atendidas por el LIBU con sus herramientas</t>
  </si>
  <si>
    <t>No. de solicitudes - retos de innovación</t>
  </si>
  <si>
    <t>L2-GCN-003</t>
  </si>
  <si>
    <t>Acciones implementadas por la comunidad del conocimiento</t>
  </si>
  <si>
    <t>Medir las acciones que contribuyen a la gestión del conocimiento en los Gestores de conocimientos - GeCos  y Comunidad del Conocimiento - CoCo</t>
  </si>
  <si>
    <t>(No. de acciones implementadas / No. de acciones proyectadas) *100</t>
  </si>
  <si>
    <t>No. de acciones implementadas por la comunidad del conocimiento</t>
  </si>
  <si>
    <t>No. acciones proyectadas</t>
  </si>
  <si>
    <t>R2. Las decisiones para la búsqueda se toman considerando lecciones aprendidas, buenas prácticas y un diálogo reflexivo como fundamento</t>
  </si>
  <si>
    <t>L2-P1-CP-2026 Estrategia de Memoria y Legado para la Búsqueda Humanitaria y Extrajudicial</t>
  </si>
  <si>
    <t>Oficina Asesora de Comunicaciones y Pedagogía</t>
  </si>
  <si>
    <t>Dirección General</t>
  </si>
  <si>
    <t>L2-GCN-004</t>
  </si>
  <si>
    <t>Número de Investigaciones desarrolladas y divulgadas</t>
  </si>
  <si>
    <t>Realizar seguimiento a las acciones desarrolladas en el marco de las investigaciones, con el proposito de mejorar la toma de decisiones de la Unidad de Búsqueda de Personas dadas por Desaparecidas.</t>
  </si>
  <si>
    <t>Se entiende por investigación todo documento analítico que examine problemas, resultados o experiencias institucionales, en el que la información sea sistematizada, analizada y documentada con el fin de generar aprendizajes y aportar insumos para la toma de decisiones de la entidad.
Para efectos del indicador se contabilizan todas aquellas investigaciones relacionadas con procesos de innovación en la búsqueda determinados desde la dirección general. 
Definición de temas 5%
Definición de enfoque, metodología y método 5%
Recopilación documental y entrevistas 40%
Análisis y redacción de los documentos 40%
Validación de los documentos y publicación 10%</t>
  </si>
  <si>
    <t>(No. de investigaciones realizadas / No. de investigaciones proyectadas) *100</t>
  </si>
  <si>
    <t>No. de investigaciones realizadas</t>
  </si>
  <si>
    <t>No. de investigaciones proyectadas</t>
  </si>
  <si>
    <t xml:space="preserve">Repositorio digital de soportes y evidencias de las acciones implementadas en el marco de Investigaciones desarrolladas y divulgadas  </t>
  </si>
  <si>
    <t xml:space="preserve">Se establecieron las investigaciones a realizar en 2026: (1) Paisajes Rituales (junto con la universidad de Ohio), (2) Aportantes de información (junto con la universidad de Ohio), (3) Red de apoyo operativo para la búsqueda y (4) Centros Integrales de Abordaje Forense para la Identificación.  
Se realizaron las fichas de resumen de proyecto de las investigaciones a realizar. Se definió la metodología a abordar en las investigaciones y se priorizaron junto con la dirección general las investigaciones que seguirán posteriormente. </t>
  </si>
  <si>
    <t>Definición de temas de investigación 2026
Definición de enfoques, metodologías y métodos de investigación.
Avance en las investigaciones propuestas.</t>
  </si>
  <si>
    <t>La fórmula no coincide con las variables establecidas. Adicionalmente, la meta definida es de 4, por lo cual no resulta claro interpretar la información registrada en términos porcentuales.</t>
  </si>
  <si>
    <t>Se realizaron las primeras entrevistas para las investigaciones sobre los Centros Integrales de Abordaje Forense para la Identificación y sobre la Red de Apoyo Operativo para la Búsqueda.</t>
  </si>
  <si>
    <t xml:space="preserve">Avance en las investigaciones de (1) Red de Apoyo Operativo y de (2) Los Centro Integrales de Abordaje Forense para la Identificación. </t>
  </si>
  <si>
    <t>Se avanzó en las investigaciones de Red de Apoyo Operativo y Centros Integrales de Abordaje Forense. En ambas se adelantaron entrevistas para seguir completando la recolección de información y en el caso de los CIAFI se realizaron dos visitas técnicas de reconocimiento a las instalaciones de Bogotá. Se realizó un formato inicial para lineamientos de investigación.</t>
  </si>
  <si>
    <t>Avance en las investigaciones de (1) Red de Apoyo Operativo y de (2) Los Centro Integrales de Abordaje Forense para la Identificación. (Finalización en el mes de mayo).</t>
  </si>
  <si>
    <t>Se culminaron las investigaciones de Red de Apoyo Operativo para la Búsqueda y de los Centros Integrales de Abordaje Forense para la Identificación. En el momento están realizandose las últimas correcciones a los documentos antes de su publicación.</t>
  </si>
  <si>
    <t>Se culminaron las investigaciones de Red de Apoyo Operativo para la Búsqueda y de los Centros Integrales de Abordaje Forense para la Identificación.</t>
  </si>
  <si>
    <t xml:space="preserve">1- Investigación Red de Apoyo Operativo para la Búsqueda https://docs.google.com/document/d/1Q1d6gyKmwWZWZz1fIdgqC9h21tLRvHVn/edit?usp=drive_link&amp;ouid=108534706110405359458&amp;rtpof=true&amp;sd=true 
2 - Investigación Centros Integrales de Abordaje Forense para la Identificación. https://docs.google.com/document/d/1_ovcKdADFKduchrY_gOOlKaDCQfN2b3z/edit?usp=drive_link&amp;ouid=108534706110405359458&amp;rtpof=true&amp;sd=true </t>
  </si>
  <si>
    <t>L2-GCN-005</t>
  </si>
  <si>
    <t xml:space="preserve">Número de acciones implementadas en el marco de convenios y alianzas estratégicas con universidades					</t>
  </si>
  <si>
    <t>Realizar seguimiento a la implementación de acciones desarrolladas en el marco de los convenios y alianzas estratégicas con universidades, orientadas a fortalecer los procesos de gestión del conocimiento de la Unidad de Búsqueda de Personas dadas por Desaparecidas, a partir de las necesidades identificadas por los Grupos Internos de Trabajo Territorial (GITT) y el nivel central.</t>
  </si>
  <si>
    <t>"Se entiende por acciones implementadas en el marco de convenios y alianzas estratégicas aquellas actividades desarrolladas conjuntamente entre la Unidad de Búsqueda de Personas dadas por Desaparecidas y universidades u otras instituciones académicas, orientadas al fortalecimiento de los procesos de comunicación pedagógica y gestión del conocimiento asociados al mandato de la entidad.
Para efectos del presente indicador, únicamente se contabilizan las acciones gestionadas o implementadas por la Oficina Asesora de Comunicaciones y Pedagogía, en el marco de los convenios y alianzas estratégicas que se encuentren bajo su coordinación."</t>
  </si>
  <si>
    <t> # de acciones implementadas en el marco de esos convenios/# de convenios suscritos con acciones implementadas</t>
  </si>
  <si>
    <t xml:space="preserve"> # de acciones implementadas en el marco de esos convenios. 							</t>
  </si>
  <si>
    <t># de convenios suscritos con acciones implementadas</t>
  </si>
  <si>
    <t>Repositorio digital de soportes y evidencias de las acciones implementadas en el marco de convenios y alianzas estratégicas</t>
  </si>
  <si>
    <t xml:space="preserve">Se adelantó un acercamiento con la Universidad Nacional de Colombia para coordinar la X Cátedra sobre desaparición y búsqueda
Se dió inicio a la X cátedra sobre desaparición y búsqueda. UNAL - UBPD.
Se coordinó con la universidad Central el lanzamiento interno para la UBPD del documental "Cuando la palabra se hace búsqueda: El Eco de sus voces". 
</t>
  </si>
  <si>
    <t xml:space="preserve">Inicio de la X cátedra sobre desaparición y búsqueda. UNAL - UBPD.
Coordinación lanzamiento interno documental "Cuando la palabra se hace búsqueda: El Eco de sus voces" con la Universidad Central.
Soportes:
Inicio de la X cátedra sobre desaparición y búsqueda. UNAL - UBPD. https://unidadbusqueda.gov.co/catedra-ubpd-unal/  
Carta coordinación lanzamiento interno documental "Cuando la palabra se hace búsqueda: El Eco de sus voces" con la Universidad Central. https://docs.google.com/document/d/1O2WQfM28xuMcHyom_iFigKnMjvaEyek3/edit?usp=sharing&amp;ouid=108534706110405359458&amp;rtpof=true&amp;sd=true  </t>
  </si>
  <si>
    <t xml:space="preserve">En el mes de marzo se llevaron a cabo tres acciones:
- Se llevó a cabo la preparación del evento celebración de los 9 años de la UBPD, en asocio con la Universidad Central, quién facilitó el Teatro Bogotá.
- Se llevó a cabo la preparación del Lanzamiento de la Revista Fractales, a propósito de una sesión especial de la Cátedra sobre Desaparición y Búsqueda que se tiene con la Universidad Nacional de Colombia. 
- Se llevarón a cabo las sesiones 6, 7, 8 y 9 de la Cátedra sobre desaparción y búsqueda. </t>
  </si>
  <si>
    <t xml:space="preserve">-Preparación del cumpleaños de la UBPD en asocio con la Universidad Central.
-Preparación del lanzamiento de la Revista Fractales en asocio con la Universidad Nacional.
-Continuación de la Cátedra Sobre desaparción y Búsqueda con la Universidad Nacional. </t>
  </si>
  <si>
    <t>En el mes de abril se llevaron a cabo tres acciones:
- Se llevó a cabo el evento celebración de los 9 años de la UBPD, en asocio con la Universidad Central, quién facilitó el Teatro Bogotá.
- Se llevó a cabo el Lanzamiento de la Revista Fractales, a propósito de una sesión especial de la Cátedra sobre Desaparición y Búsqueda que se tiene con la Universidad Nacional de Colombia. 
- Se llevarón a cabo las sesiones 9, 10, y 11 de la Cátedra sobre desaparción y búsqueda.</t>
  </si>
  <si>
    <t>-Cumpleaños de la UBPD en asocio con la Universidad Central.
-Lanzamiento de la Revista Fractales en asocio con la Universidad Nacional.
-Continuación de la Cátedra Sobre desaparción y Búsqueda con la Universidad Nacional.</t>
  </si>
  <si>
    <t xml:space="preserve">Finalizó la X versión de la cátedra sobre desaparición y búsqueda con la Universidad Nacional de Colombia. 
Se agendó reuniones de seguimiento semestral con la Universidad Nacional y con la Universidad Central para el mes de junio. </t>
  </si>
  <si>
    <t>Finalización de la X Cátedra sobre desaparición y búsqueda con la Universidad Nacional de Colombia.</t>
  </si>
  <si>
    <t xml:space="preserve">Página web Cátedra sobre desaparición y búsqueda https://unidadbusqueda.gov.co/catedra-ubpd-unal/ </t>
  </si>
  <si>
    <t>L2-GCN-006</t>
  </si>
  <si>
    <t>Acciones implementadas en el marco de los convenios</t>
  </si>
  <si>
    <t>Medir el avance en la ejecución de acciones en el marco de los convenios</t>
  </si>
  <si>
    <t>(No. de acciones proyectadas en el marco de los convenios/No. de acciones proyectadas en el marco de los convenios)*100</t>
  </si>
  <si>
    <t>No. de acciones implementadas en el marco de los convenios</t>
  </si>
  <si>
    <t>No. de acciones proyectadas en el marco de los convenios</t>
  </si>
  <si>
    <t>L2-GCN-007</t>
  </si>
  <si>
    <t>Practicantes / pasantes vinculados</t>
  </si>
  <si>
    <t>Determinar la cantidad de practicantes / pasantes que apoyan el mandato de la UBPD</t>
  </si>
  <si>
    <t>No. de practicantes o pasantes vinculados por dependencia</t>
  </si>
  <si>
    <t>L2-GCN-008</t>
  </si>
  <si>
    <t>"Número de Productos elaborados de memoria institucional"</t>
  </si>
  <si>
    <t>Medir la preservación del conocimiento sobre la búsqueda que se tiene en la UBPD para su entrega a la sociedad.</t>
  </si>
  <si>
    <t xml:space="preserve">"Se entienden por productos de memoria los contenidos, piezas, documentos o dispositivos narrativos y pedagógicos mediante los cuales se materializan los procesos de elaboración de memoria sobre la desaparición y la búsqueda de personas. Estos productos recogen, organizan y comunican interpretaciones, testimonios, aprendizajes y registros documentales que permiten comprender el pasado, dignificar a las víctimas y a quienes las buscan, y fortalecer las acciones de pedagogía social, preservación documental y reparación simbólica.
Los productos de memoria de 2026 son:
1. Revista Fractales (Se pasa del indicador 014 de OGC 2025).
2. Libro multimedia 10 años del acuerdo de paz y 9 años de la UBPD.
3. Más que una cifra (Estrategia para mostrar personas encontradas con vida que tuvieron reencuentros y entregas dignas realizadas)
4. Guía de memoria UBPD
5. Evento Internacional 10 años del acuerdo de paz y 9 años de la UBPD.
6. X Cátedra sobre desaparición y búsqueda. UNAL - UBPD.
7. XI Cátedra sobre desaparición y búsqueda. UNAL - UBPD.
8. Glosario UBPD. 
9. Memoria Institucional 2025 - 2026.
El valor porcentual de cada producto es 11.11%"								</t>
  </si>
  <si>
    <t># de productos de memoria / meta *100</t>
  </si>
  <si>
    <t>Número de productos de memoria elaborados</t>
  </si>
  <si>
    <t>Número de productos de memoria planeados (6)</t>
  </si>
  <si>
    <t>Repositorio digital de soportes y evidencias de las acciones implementadas en el marco de convenios y alianzas estratégicas.</t>
  </si>
  <si>
    <t xml:space="preserve">Se establecieron los productos de memoria a realizar en 2026:
1. Revista Fractales (Se pasa del indicador 014 de OGC 2025).
2. Libro multimedia 10 años del acuerdo de paz y 9 años de la UBPD.
3. Más que una cifra (Estrategia para mostrar personas encontradas con vida que tuvieron reencuentros y entregas dignas realizadas)
4. Guía de memoria UBPD
5. Evento Internacional 10 años del acuerdo de paz y 9 años de la UBPD.
6. X Cátedra sobre desaparición y búsqueda. UNAL - UBPD. (Se pasa del indicador 011 de OGC 2025).
7. XI Cátedra sobre desaparición y búsqueda. UNAL - UBPD. (Se pasa del indicador 011 de OGC 2025).
8. Glosario UBPD. 
9. Memoria Institucional 2025 - 2026.
1. Revista Fractales: Se realizó la estrategia de lanzamiento del número 1 de la revista y se elaboró la convocatoria del lanzamiento del número 2.
2. Libro multimedia 10 años del acuerdo de paz y 9 años de la UBPD: Se formuló la estructura del libro. 
3. Más que una cifra (Estrategia para mostrar personas encontradas con vida que tuvieron reencuentros y entregas dignas realizadas). Se diseñó la estructura del proyecto y se realizaron los primeros mockups del mismo. 
4. Guía de memoria UBPD. Para formular este documento se está realizando la revisión de los lineamientos de memoria formulados en 2025 para su publicación. 
5. Evento Internacional 10 años del acuerdo de paz y 9 años de la UBPD. Se formuló la agenda del evento. 
6. X Cátedra sobre desaparición y búsqueda. UNAL - UBPD. (Se pasa del indicador 011 de OGC 2025). Se dió inicio a la cátedra con participación de más de 650 personas de la sociedad civil. 
7. XI Cátedra sobre desaparición y búsqueda. UNAL - UBPD. (Se pasa del indicador 011 de OGC 2025). Esta versión inicia el segundo semestre del año, primero se lleva a cabo la X versión.
8. Glosario UBPD. Se realizó la citación a las subdirecciones misionales de la UBPD para el 03 de marzo. En este momento se retomará el proyecto. 
9. Memoria Institucional 2025 - 2026. Se está realizando la revisión documental del borrador sobre la memoria de 2025. </t>
  </si>
  <si>
    <t xml:space="preserve">Definición de productos de memoria a elaborar en 2026
Estrategia de lanzamiento del #1 de Fractales
Convocatoria del #2 de fractales (a publicarse en marzo)
Formulación del proyecto "Más que una cifra"
Formulación del libro de los 10 años del acuerdo de paz y los 9 años de la UBPD.
Formulación del evento internacional de los 10 años del acuerdo de paz y los 9 años de la UBPD.
Inicio de la X cátedra sobre desaparición y búsqueda. UNAL - UBPD.
</t>
  </si>
  <si>
    <t>La fórmula no coincide con las variables establecidas. Adicionalmente, la meta definida es de 9, por lo cual no resulta claro interpretar la información registrada en términos porcentuales.</t>
  </si>
  <si>
    <t xml:space="preserve">1. Revista Fractales: Se avanzó en los preparativos para el lanzamiento de la revista. Esto implicó separar el lugar con la Universidad Nacional, hacer un evento en logística para preparar el material pedagógico y el streaming del evento y coordinar al equipo para su realización. Se publicó la convocatoria del #2 de la revista. 
2. Libro multimedia 10 años del acuerdo de paz y 9 años de la UBPD: Se ajustó la estructura del libro y se puso a disposición de la Dirección General para hacer una última versión. 
3. Más que una cifra (Estrategia para mostrar personas encontradas con vida que tuvieron reencuentros y entregas dignas realizadas). En el mes de marzo se realizó una reunión de preparación del proyecto con el equipo de tecnología de la UBPD para su preparación digital. 
4. Guía de memoria UBPD. Para formular este documento se está realizando la revisión de los lineamientos de memoria formulados en 2025 para su publicación. 
5. Evento Internacional 10 años del acuerdo de paz y 9 años de la UBPD. Se ajustó la agenda del evento, se espera tener la aprobación final del mismo para el mes de abril. 
6. X Cátedra sobre desaparición y búsqueda. UNAL - UBPD. (Se pasa del indicador 011 de OGC 2025). Se llevaron a cabo las sesiones 6, 7, 8 y 9 de la cátedra. 
7. XI Cátedra sobre desaparición y búsqueda. UNAL - UBPD. (Se pasa del indicador 011 de OGC 2025). Esta versión inicia el segundo semestre del año, primero se lleva a cabo la X versión.
8. Glosario UBPD. Una vez llevada a cabo la reunión con las dependencias correspondientes, se acordó priorizar 60 términos para publicar en el glosario de la entidad, en asocio con la Dirección General.  
9. Memoria Institucional 2025 - 2026. Se está realizando la revisión documental del borrador sobre la memoria de 2025. </t>
  </si>
  <si>
    <t xml:space="preserve">Avance y preparación de la estrategia de lanzamiento del #1 de Fractales
Convocatoria del #2 de fractales
Ajuste de documento libro de los 10 años del acuerdo de paz y los 9 años de la UBPD.
Ajuste de documento de preparación del evento internacional de los 10 años del acuerdo de paz y los 9 años de la UBPD.
Sesiones 6-9 de la X cátedra sobre desaparición y búsqueda. UNAL - UBPD.
Priorización términos Glosario UBPD. </t>
  </si>
  <si>
    <t xml:space="preserve">1. Revista Fractales: Se llevó a cabo el lanzamiento de la revista el 10 de abril en un evento para 300 personas con transmisión en vivo a nivel nacional. Se realizó un conversatorio en la Feria Internacional del Libro de Bogotá el día 29 de abril. 
2. Libro multimedia 10 años del acuerdo de paz y 9 años de la UBPD: Tras la aprobación de la estructura del libro por parte de la dirección general, se ajustó la estructura del libro y se realizó la designación de un equipo de trabajo compuesto por comunicadores territoriales para la escritura del mismo. 
3. Más que una cifra (Estrategia para mostrar personas encontradas con vida que tuvieron reencuentros y entregas dignas realizadas). Se llevaron a cabo dos reuniones con los equipos de tecnología e investigación humanitaria de la UBPD para preparar el proyecto. 
4. Guía de memoria UBPD. Para formular este documento se está realizando la revisión de los lineamientos de memoria formulados en 2025 para su publicación. 
5. Evento Internacional 10 años del acuerdo de paz y 9 años de la UBPD. Durante el mes de abril se aprobó la agenda del evento, no obstante, se sugirió un ajuste de fechas que está siendo revisado para su concreción.
6. X Cátedra sobre desaparición y búsqueda. UNAL - UBPD. (Se pasa del indicador 011 de OGC 2025). Se llevaron a cabo las sesiones 9,10 y 11 de la cátedra. 
7. XI Cátedra sobre desaparición y búsqueda. UNAL - UBPD. (Se pasa del indicador 011 de OGC 2025). Esta versión inicia el segundo semestre del año, primero se lleva a cabo la X versión.
8. Glosario UBPD. Se adelantó la definición de 15 términos de los priorizados en asocio con la dirección general. 
9. Memoria Institucional 2025 - 2026. Se está realizando la revisión documental del borrador sobre la memoria de 2025. </t>
  </si>
  <si>
    <t xml:space="preserve">Lanzamiento del #1 de Fractales
Ajuste de documento libro de los 10 años del acuerdo de paz y los 9 años de la UBPD.
Ajuste de documento de preparación del evento internacional de los 10 años del acuerdo de paz y los 9 años de la UBPD.
Sesiones 9-11 de la X cátedra sobre desaparición y búsqueda. UNAL - UBPD.
Definición de 15 términos Glosario UBPD. </t>
  </si>
  <si>
    <t>Entre los principales hitos se encuentran la finalización de los Lineamientos de Memoria de la UBPD, la culminación de la X Cátedra sobre Desaparición y Búsqueda, la formulación de la caja de herramientas para la presentación de la revista Fractales y la creación de la base de datos del aplicativo “Más que una cifra”. Asimismo, se avanzó en la escritura del libro sobre los 10 años del Acuerdo de Paz y los 9 años de la UBPD, en la organización del evento internacional conmemorativo y en la construcción del Glosario UBPD, contribuyendo al fortalecimiento de los procesos de memoria, pedagogía, comunicación y posicionamiento institucional.</t>
  </si>
  <si>
    <t>1. Formulación de una caja de herramientas para la presentación de la revista Fractales. 
2. Avance en la escritura del libro sobre los 10 años del acuerdo de paz y los 9 años de la UBPD.
3. Creación de la base de datos del aplicativo más que una cifra y formulación del documento para programación.
4. Finalización de los lineamientos de memoria de la UBPD.
5. Versión final de la agenda del evento internacional sobre los 10 años del acuerdo de paz y los 9 años de la UBPD.
6. Finalización de la X cátedra sobre desaparición y búsqueda. 
7. Avance de 30 términos en el glosario UBPD.</t>
  </si>
  <si>
    <t xml:space="preserve">1. Caja de herramientas para la presentación de la revista Fractales. https://docs.google.com/document/d/10dZQYWPbnDDKaqB98PMsK9KggrHyG6xU/edit?usp=drive_link&amp;ouid=108534706110405359458&amp;rtpof=true&amp;sd=true 
2. Libro sobre los 10 años del acuerdo de paz y los 9 años de la UBPD.https://docs.google.com/document/d/1lbOs8w0B480kkF1qQa0CbQExIyY3h8UF/edit?usp=drive_link&amp;ouid=108534706110405359458&amp;rtpof=true&amp;sd=true  
3. Base de datos del aplicativo más que una cifra https://docs.google.com/spreadsheets/d/14yakBxLk01WWEZCZlBE0Opn-0FUgb8V0/edit?usp=drive_link&amp;ouid=108534706110405359458&amp;rtpof=true&amp;sd=true  y formulación del documento para programación. https://docs.google.com/document/d/10QFa4auXQ2-wADR-mu4OjvN2pZ8dUo1T/edit?usp=drive_link&amp;ouid=108534706110405359458&amp;rtpof=true&amp;sd=true 
4. Lineamientos de memoria de la UBPD. https://docs.google.com/document/d/1QFOyDo_zQux2TSRohcim-Mze5MDUqGRl/edit?usp=drive_link&amp;ouid=108534706110405359458&amp;rtpof=true&amp;sd=true 
5. Agenda del evento internacional sobre los 10 años del acuerdo de paz y los 9 años de la UBPD. https://docs.google.com/presentation/d/1md9E052UpaWU-VWgcO0d1dwimHl6WHAK/edit?usp=drive_link&amp;ouid=108534706110405359458&amp;rtpof=true&amp;sd=true 
6. X cátedra sobre desaparición y búsqueda. https://unidadbusqueda.gov.co/catedra-ubpd-unal/ 
7. Glosario UBPD.https://docs.google.com/spreadsheets/d/1p2-xW0eaXFMh9daXjzYGhN2dWV_aSAP9/edit?usp=drive_link&amp;ouid=108534706110405359458&amp;rtpof=true&amp;sd=true </t>
  </si>
  <si>
    <t>L2-GCN-009</t>
  </si>
  <si>
    <t>Voluntarios en la UBPD</t>
  </si>
  <si>
    <t>Determinar la cantidad de voluntarios que se vinculan a la UBPD</t>
  </si>
  <si>
    <t>No. de voluntarios vinculados</t>
  </si>
  <si>
    <t>Plan de implementación fase I línea de pensamiento sobre la búsqueda en el marco del modelo de gestión del conocimiento</t>
  </si>
  <si>
    <t>L2-GCN-010</t>
  </si>
  <si>
    <t>Espacios de conocimiento desarrollados</t>
  </si>
  <si>
    <t>Medir la cantidad de espacios de conocimiento desarrollados por las diferentes entidades / servidores de la UBPD</t>
  </si>
  <si>
    <t>(No. espacios de conocimiento realizados / No. espacios de conocimiento proyectados)*100</t>
  </si>
  <si>
    <t>No. espacios de conocimiento realizados</t>
  </si>
  <si>
    <t>No. espacios de conocimiento proyectados</t>
  </si>
  <si>
    <t>L2-GCN-011</t>
  </si>
  <si>
    <t>Semilleros de investigaciones académicas conformados</t>
  </si>
  <si>
    <t>Determinar la conformación de semilleros de investigaciones académicas sobre la búsqueda con estudiantes de pregrado y posgrado</t>
  </si>
  <si>
    <t>No. Semilleros de investigaciones académicas conformados</t>
  </si>
  <si>
    <t>L2-GCN-012</t>
  </si>
  <si>
    <t>Avance en el diseño del ambiente de aprendizaje (medido en horas de los cursos incluidos en el ambiente)</t>
  </si>
  <si>
    <t>Determinar el avance en el diseño de los cursos que harán parte de la Fase I del ambiente de aprendizaje, medido en términos del número de horas que contemplan cada uno de ellos.</t>
  </si>
  <si>
    <t>No. de horas que contemplan los cursos diseñados en el ambiente de aprendizaje Fase I</t>
  </si>
  <si>
    <t>L2-GCN-013</t>
  </si>
  <si>
    <t>Implementación del Plan Institucional de Capacitaciones - PIC</t>
  </si>
  <si>
    <t>Realizar seguimiento a las acciones de fortalecimiento de capacidades adelantadas en el marco de la programación del Plan Institucional de Capacitación PIC.</t>
  </si>
  <si>
    <t>L2-GCN-014</t>
  </si>
  <si>
    <t>Publicaciones elaboradas por el Centro de Pensamiento</t>
  </si>
  <si>
    <t>Determinar el número de publicaciones (revista) orientadas a posicionar a la UBPD como centro de pensamiento, conocimiento y saberes, que contemple una sección de artículos académicos sobre la búsqueda de personas en el marco del cumplimiento de los acuerdos de paz y la transición de una sociedad en paz de instituciones, organizaciones, universidades, investigadoras/es, trabajadores/as de la UBPD, entre otros, y otra sección de creación narrativa, fotográfica y/o artística que contribuya a visibilizar a la búsqueda y la desaparición de personas en Colombia.</t>
  </si>
  <si>
    <t>∑= V1t</t>
  </si>
  <si>
    <t>No. de publicaciones elaboradas por el Centro de Pensamiento</t>
  </si>
  <si>
    <t>Línea 3. Articulación interinstitucional e intersectorial para el fortalecimiento de las acciones de búsqueda humanitaria y extrajudicial</t>
  </si>
  <si>
    <t>Asesora Relacionamiento con la JEP</t>
  </si>
  <si>
    <t>L3-DPE-001</t>
  </si>
  <si>
    <t>Espacios de coordinación realizados en seguimiento a lo definido en el Anexo Técnico No. 1 suscrito entre la UBPD y la JEP</t>
  </si>
  <si>
    <t xml:space="preserve">Hacer seguimiento a los avances alcanzados en materia de intercambio de información entre la UBPD y la JEP </t>
  </si>
  <si>
    <t>L3-DPE-002</t>
  </si>
  <si>
    <t>Mesas técnicas de seguimiento en el marco de las medidas cautelares decretadas por SARVR</t>
  </si>
  <si>
    <t xml:space="preserve">Hacer seguimiento a los compromisos definidos para el abordaje de problemáticas centrales del proceso de búsqueda, identificadas en el marco de las medidas cautelares ordenadas por la SARVR de la JEP </t>
  </si>
  <si>
    <t>L3-DPE-003</t>
  </si>
  <si>
    <t>Mesas de seguimiento a la implementación de proyectos e iniciativas TOAR en la línea restaurativa de búsqueda de personas dadas por desaparecidas</t>
  </si>
  <si>
    <t xml:space="preserve">Hacer seguimiento a la implementación de los lineamientos definidos por la JEP a través de la Resolución 932 de 2024 </t>
  </si>
  <si>
    <t>Línea 3. Articulación interinstitucional e intersectorial para el fortalecimiento de las acciones de búsqueda humanitria y extrajudicial</t>
  </si>
  <si>
    <t>R3. La UBPD fortalece las condiciones de trabajo conjunto y coordinado con actores corresponsables  en el proceso de búsqueda humanitaria y extrajudicial en el ambito local, nacional e internacional para facilitar su actuaciuón y aumentar el impacto de su intervención</t>
  </si>
  <si>
    <t xml:space="preserve">
Subdirección Técnica de Participación y Enfoques Diferenciales</t>
  </si>
  <si>
    <t>L3-DPE-004</t>
  </si>
  <si>
    <t>Seguimiento a compromisos y planes de trabajo derivados de las sesiones del Consejo Asesor</t>
  </si>
  <si>
    <t>Realizar seguimiento a la preparación y realización de espacios de sesiones del Consejo Asesor que permiten dar cumplimiento a su rol de instancia  generadora de recomendaciones para el desarrollo de las funciones de la UBPD.</t>
  </si>
  <si>
    <t xml:space="preserve">Número de acciones desarrolladas en el marco del desarrollo del Consejo Asesor </t>
  </si>
  <si>
    <t>Número de acciones planeadas en el marco del desarrollo del Consejo Asesor preparadas y realizadas</t>
  </si>
  <si>
    <t>Plan de trabajo del Consejo Asesor 
Reporta: Variables: Subdirección Técnica de Participación y Enfoques Diferenciales</t>
  </si>
  <si>
    <t>Para el mes de enero se llevó a cabo dos sesiones que reunió al Consejo Asesor, en desarrollo del plan de trabajo acordado con las consejeras. Estas sesiones abordaron los temas del concepto de Persona Buscadora y la socializacion del aplicado de consulta para personas buscadoras (Registro e interoperabilidad).
Así mismo, se adelantó con el proceso precontractual para el Consejo Asesor.
Febrero:
Para el mes de febrero se llevó a cabo una sesión que reunió al Consejo Asesor, en continuidad al plan de trabajo donde se retomó el Plan de Intervención de enfoques diferenciales, y además por solicitud de las consejeras se socializaron documentos como la Guía de ajustes y apoyos razonables y los decretos que permitieron la reestructuración de la entidad, espacio que contó con la participación del Subdirector de Participación y Enfoques Diferenciales. Adicionalmente, se llevó a cabo con la UIAP para hacerle seguimiento al plan de trabajo. 
Así mismo se avanzó en la fase precontractual de la elección del Consejo Asesor para 2026, al radicar los Estudios Previos, la Hoja de Ruta (en versión diagramada) y la radicación en Secretaría General de los Estudios de Mercado y su posterior publicación</t>
  </si>
  <si>
    <t>LOGROS: 
- Se contó con la participación del Subdirector de Investigación para socializar la aplicación de consulta, lo cual permitió responder las preguntas que les surgió a las consejeras de manera profunda y oportuna
DIFICULTADES:
- No se contó con la participación amplia de parte de los consejeros.
Febrero
LOGROS: 
- Se contó con el Subdirector de Investigación para socializar de primera mano los Decretos de restructuración de la entidad y además, con base en la socialización de la Guía de Apoyos y Ajustes razonables contar con un documento técnico aún más sólido.
DIFICULTADES:
- Respecto a la reunión con la UIAP, se identificó que el compromiso relacionado con el módulo de formación se encuentra con retrasos.</t>
  </si>
  <si>
    <t>Se llevó a cabo dos reuniones que permitieron el avance en dos acciones estratégicas: la realización de la tercera sesión ordinaria del Consejo Asesor y la continuidad de contenidos del curso de Búsqueda con la participación y apoyo de INML y la UIAP.</t>
  </si>
  <si>
    <t>LOGROS: Se completó exitosamente el proceso de revisión y firma del Estudio Previo Definitivo para el proceso contractual del Socio Implementador, un paso crucial para la elección del consejo asesor 2026-2027. Para el proceso de convocatoria se presentaron tres proponentes que están en proceso de postulación.
DIFICULTADES: Se cuenta con dificultades presupuestales y de agenda de algunas entidades para lograr realizar la tercera sesión ordinaria del Consejo Asesor</t>
  </si>
  <si>
    <t>0,0000000000%</t>
  </si>
  <si>
    <t>Se cuenta con el socio implementador  STAR COP HUMANITY -SCH- que tendra a su cargo la elección de los representantes de la sociedad civil (dos personas elegidas por las organizaciones de desaparición forzada, dos representantes de la organizaciones de secuetro y un represantante de las organizaciones técnico forenses) al Consejo Asesor; este contrato inició el 17 de abril  y su gestión concluye el 22 de junio con la eleccción de los nuevos representates de la sociedad civil al Consejo Asesor para el periodo 20226-2027.
Respecto del Consejo Asesor 2025-2026  se avanza en la prepararición de la última sesión de este periodo para el mes de junio y dar paso al empalme correspondiente con el nuevo consejo asessor 2026-2027</t>
  </si>
  <si>
    <t>LOGROS: 
- Contrato con el socio implementador 
DIFICULTADES: Na</t>
  </si>
  <si>
    <t>Subdirección Técnica de Participación y Enfoques Diferenciales</t>
  </si>
  <si>
    <t>L3-DPE-005</t>
  </si>
  <si>
    <t>Personas en proceso de intervención psicosocial</t>
  </si>
  <si>
    <t xml:space="preserve">Evaluar la efectividad de la articulación entre la UBPD, Ministerio de Salud y la Unidad para la Atención y Reparación Integral a las Víctimas (UARIV) para abordar las necesidades de atención psicosocial de las personas buscadoras. </t>
  </si>
  <si>
    <t>Nº de casos derivadores a MinSalud</t>
  </si>
  <si>
    <t>Nº de casos derivados a la UARIV</t>
  </si>
  <si>
    <t>Matriz PQRSD 2026
Reporta: Variables: Subdirección Técnica de Participación y Enfoques Diferenciales</t>
  </si>
  <si>
    <t>Durante el mes de enero y febrero no fue posible obtener con la garantía del derecho al apoyo logístico de los familiares por parte de la UARIV, dicha entidad además informó que para marzo tampoco se logrará con la garantía a este derecho.
No obstante a lo anterior, el flujo de comunicación tanto con la UARIV como con el MinSalud ha venido evolucionando en la medida en que las solicitudes se dirigen específicamente a las personas que impulsan directamente y gestionan permitiendo lograr la gestión, y con ello, aumentando las posibilidades de la atención efectiva.</t>
  </si>
  <si>
    <t>LOGROS:
- Se logró el acompañamiento psicosocial efectivo de una entrega digna realizada en Aguachica, Cesar. Además se concretó la orientación en reparación integral en Medellín luego de que la entrega digna se realizara en diciembre de 2025.
DIFICULTADES:
- Además de la dificultad mencionada en el análisis cualitativo relacionada con la ausencia de operador logístico de la UARIV (donde no se pudo contar con el apoyo de 9 AHB), también dicha entidad informó que la orientación en reparación integral no se podrá realizar durante la entrega digna dado que el personal que realizará esta acción se encuentra en entrenamiento, lo cual vislumbra una dificultad pues las famililas deberán asumir el traslado a los lugares donde les citen.</t>
  </si>
  <si>
    <t xml:space="preserve">La gestión general de las tres acciones de articulación realizadas con Minsalud durante el mes de marzo estuvieron dirigidas a garantizar la atención especializada y el apoyo logístico para Personas Buscadoras y víctimas del conflicto armado, particularmente en casos de alta sensibilidad (Sentencia CIDH UP) y aquellos que requerían apoyo integral.
Mientras que el caso del relacionamiento con la UARIV, continuo la dificultad relacionada con el operador logístico de dicha entidad. </t>
  </si>
  <si>
    <t>LOGROS:
- Garantizar el acompañamiento psicosocial y la orientación en reparación integral en las cinco entregas dignas que se coordinaron con la UARIV, ante la dificultad de no contar con el operador logístico.
DIFICULTADES: 
- Se aplazaron algunas entregas dignas ante la imposibilidad de contar con el operador logístico de la UARIV</t>
  </si>
  <si>
    <t>Se fortaleció la articulación interinstitucional con la Unidad para la Atención y Reparación Integral a las Víctimas (UARIV), mediante el acompañamiento en tres Acciones Humanitarias de Búsqueda (dos prospecciones y una entrega digna). Esto permitió la participación de 8 personas buscadoras.</t>
  </si>
  <si>
    <t>Se fortaleció la articulación interinstitucional con la Unidad para la Atención y Reparación Integral a las Víctimas (UARIV), mediante el acompañamiento en tres Acciones Humanitarias de Búsqueda (dos prospecciones y una entrega digna). Esto permitió la participación de 8 personas buscadoras</t>
  </si>
  <si>
    <t>DTPCVED</t>
  </si>
  <si>
    <t>L3-DPE-006</t>
  </si>
  <si>
    <t>Efectividad en la Remisión de atención y acompañamiento psicosocial, asistencia funeraria y la participación en procesos de búsqueda de la UARIV con Personas Buscadoras</t>
  </si>
  <si>
    <t>Evaluar la efectividad de la colaboración entre la UBPD y la Unidad para la Atención y Reparación Integral a las Víctimas (UARIV) para abordar las necesidades de las personas buscadoras.</t>
  </si>
  <si>
    <t>Plan de relacionamiento, articulación e incidencia para la Búsqueda - PRAI, implementado</t>
  </si>
  <si>
    <t>Asesora Relacionamiento e Incidencia</t>
  </si>
  <si>
    <t>L3-DPE-007</t>
  </si>
  <si>
    <t>Espacios de articulación interinstitucional e intersectorial</t>
  </si>
  <si>
    <t>Determinar el número de espacios de articulación interinstitucionales o intersectorial donde participa activamente la UBPD para alcanzar objetivos comunes, que contribuyen a la Búsqueda de PDD.</t>
  </si>
  <si>
    <t>∑= # de espacios interinstitucionales para la busqueda resultado de la incidencia y articulaciónt1….tn</t>
  </si>
  <si>
    <t>No. de espacios interinstitucionales e intersectoriales en los que ha participado la UBPD (nacional)</t>
  </si>
  <si>
    <t>No. de espacios interinstitucionales e intersectoriales en los que ha participado la UBPD (territorial)</t>
  </si>
  <si>
    <t>Bimestral</t>
  </si>
  <si>
    <t>L3-DPE-008</t>
  </si>
  <si>
    <t>Acciones interinstitucionales para la búsqueda</t>
  </si>
  <si>
    <t>Determinar el número de acciones que contribuyen a la Búsqueda como resultado de la articulación insterinstitucional e intersectorial</t>
  </si>
  <si>
    <t>∑= # de acciones interinstitucionales para la busqueda resultado de la incidencia y articulaciónt1….tn</t>
  </si>
  <si>
    <t>No. de acciones interinstitucionales e intersectoriales que se implementen como resultado de los espacios de articulación e incidencia</t>
  </si>
  <si>
    <t>L3-DPE-009</t>
  </si>
  <si>
    <t>Alianzas formalizadas</t>
  </si>
  <si>
    <t>Determinar el número de alianzas formalizadas entre la UBPD y diferentes actores para establecer y consolidar relaciones, y su posición para dirigir, coordinar y contribuir a la Búsqueda.  Incluye planes de acción de las alianzas formalizadas, convenios, memorandos y/o cartas de entendimiento, u otros instrumentos.</t>
  </si>
  <si>
    <t>∑= # de alianzas formalizadast1….tn</t>
  </si>
  <si>
    <t>No.de alianzas formalizadas durante la vigencia</t>
  </si>
  <si>
    <t>L3-DPE-010</t>
  </si>
  <si>
    <t>Participación en acciones para formulación de la política pública</t>
  </si>
  <si>
    <t>Conocer el número de participantes en las diferentes acciones desplegadas para la formulación de la Política Pública según categoría de enfoque diferencial de género y étnico y lugar.</t>
  </si>
  <si>
    <t>∑= Número de personas participantes i1 ….Número de personas participantesin</t>
  </si>
  <si>
    <t>Numero de personas que participan en acciones, espacios o mecanimos establecidos para la formulación de la política pública según categoría i y departamento n</t>
  </si>
  <si>
    <t xml:space="preserve">Estrategia para el impulso del Sistema Nacional de Búsqueda (SNB) implementada </t>
  </si>
  <si>
    <t>L3-DPE-011</t>
  </si>
  <si>
    <t>Sesiones del SNB</t>
  </si>
  <si>
    <t>Determinar el número de espacios de articulación para el cumplimiento de los objetivos estratégicos del Sistema Nacional de Búsqueda liderado por la UBPD.</t>
  </si>
  <si>
    <t>∑=# SCI…#SCT</t>
  </si>
  <si>
    <t>No. de Sesiones Comisión Intersectorial realizadas (SCI)</t>
  </si>
  <si>
    <t>No. de Sesiones Comites Técnicos del Sistema (SCT)</t>
  </si>
  <si>
    <t>L3-DPE-012</t>
  </si>
  <si>
    <r>
      <rPr>
        <strike/>
        <sz val="10"/>
        <color theme="1"/>
        <rFont val="Arial"/>
      </rPr>
      <t xml:space="preserve">Documentos aprobados por la Comisión Intersectorial del SNB
</t>
    </r>
    <r>
      <rPr>
        <sz val="10"/>
        <color theme="1"/>
        <rFont val="Arial"/>
      </rPr>
      <t>Documentos técnicos y metodológicos presentados a la Comisión Intersectorial del SNB para su aprobación</t>
    </r>
  </si>
  <si>
    <r>
      <rPr>
        <sz val="10"/>
        <color theme="1"/>
        <rFont val="Arial"/>
      </rPr>
      <t xml:space="preserve">Realizar seguimiento a la </t>
    </r>
    <r>
      <rPr>
        <strike/>
        <sz val="11"/>
        <color theme="1"/>
        <rFont val="Calibri"/>
      </rPr>
      <t xml:space="preserve">aprobación de los documentos técnicos y metodológicos elaborados por la Comisión Intersectorial del Sistema Nacional  de Búsqueda </t>
    </r>
    <r>
      <rPr>
        <sz val="11"/>
        <color theme="1"/>
        <rFont val="Calibri"/>
      </rPr>
      <t>elaboración de documentos técnicos y metodológicos presentados para aprobación de la Comisión Intersectorial del Sistema Nacional de Búsqueda</t>
    </r>
  </si>
  <si>
    <t>∑= # documentos técnicos presentados para aprobación de la comisión intersectorial</t>
  </si>
  <si>
    <t># documentos técnicos presentados para aprobación de la comisión intersectorial</t>
  </si>
  <si>
    <t>L3-DPE-013</t>
  </si>
  <si>
    <t>Seguimiento al Plan Estratégico Institucional</t>
  </si>
  <si>
    <t>Determinar el avance en la ejecución del Plan de estratégico de acuerdo con sus metas e indicadores y las fechas establecidas</t>
  </si>
  <si>
    <t>(No. de acciones del Plan Estrategico del SNB priorizadas para la vigencia 2025 ejecutadas/No. de acciones del Plan Estrategico del SNB priorizadas para la vigencia 2025 programadas)*100</t>
  </si>
  <si>
    <t>No. de acciones del Plan Estrategico del SNB priorizadas para la vigencia 2025 ejecutadas</t>
  </si>
  <si>
    <t>No. de acciones del Plan Estrategico del SNB priorizadas para la vigencia 2025 programadas</t>
  </si>
  <si>
    <t>L3-DPE-022</t>
  </si>
  <si>
    <t>Conceptos emitidos sobre proyectos o iniciativas que pueden configurarse como TOAR para la búsqueda</t>
  </si>
  <si>
    <t xml:space="preserve">Hacer seguimiento a la implementación de lo acordado en las Resoluciones 932 de 2024, expedida por la Secretaría Ejecutiva de la JEP, y Resolución 1221 de 2024, expedida por la UBPD, respecto a los proyectos o iniciativas que pueden configurarse como TOAR para la búsqueda de personas dadas por desaparecidas. </t>
  </si>
  <si>
    <t>(No. de conceptos emitidos sobre proyectos o iniciativas que pueden configurarse como TOAR para la búsqueda de PDD/No. de conceptos solicitados sobre proyectos o iniciativas que pueden configurarse como TOAR para la búsqueda de PDD)*100</t>
  </si>
  <si>
    <t>No. de conceptos emitidos sobre proyectos o iniciativas que pueden configurarse como TOAR para la búsqueda de PDD</t>
  </si>
  <si>
    <t>No. de conceptos solicitados sobre proyectos o iniciativas que pueden configurarse como TOAR para la búsqueda de PDD</t>
  </si>
  <si>
    <t xml:space="preserve">Política pública integral (PPI) de atención, prevención, búsqueda e identificación de las PDD aprobada por la Comisión Intersectorial del Sistema Nacional de Búsqueda </t>
  </si>
  <si>
    <t>L3-DPE-023</t>
  </si>
  <si>
    <t xml:space="preserve">Seguimiento a la hoja de ruta de formulación de la Política Pública Integral </t>
  </si>
  <si>
    <t>Realizar seguimiento a la implementación de las acciones de la hoja de ruta de formulación de la PPI aprobada por la Comisión Intersectorial del Sistema Nacional de Búsqueda</t>
  </si>
  <si>
    <t>(No. de acciones realizadas para la implementación de la hoja de ruta PPI/No. de acciones programadas para la implementación de la hoja de ruta PPI)*100</t>
  </si>
  <si>
    <t>No. de acciones realizadas para la implementación de la hoja de ruta PPI</t>
  </si>
  <si>
    <t>No. de acciones programadas para la implementación de la hoja de ruta PPI</t>
  </si>
  <si>
    <t>L3-DPE-024</t>
  </si>
  <si>
    <t>Entidades con las que se adelanta proceso de incidencia</t>
  </si>
  <si>
    <t>Determinar el número de entidades identificadas en el mapeo de actores según la priorización institucional, con las cuales se adelantan acciones de incidencia y articulación para alcanzar objetivos comunes, que contribuyen a la Búsqueda de PDD.</t>
  </si>
  <si>
    <t>∑= # de entidades con las cuales se adelanta incidencia y articulaciónt1….tn</t>
  </si>
  <si>
    <t>No. de entidades priorizadas con las cuales se adelanta incidencia y articulación</t>
  </si>
  <si>
    <t>Línea 4. Sensibilización y comunicación para la búsqueda</t>
  </si>
  <si>
    <t>Estrategia de comunicación masiva e institucional y pedagogía con gestión sociocultural para la búsqueda diseñada e implementada</t>
  </si>
  <si>
    <t>OACP</t>
  </si>
  <si>
    <t>L4-CEP-001</t>
  </si>
  <si>
    <t>Productos comunicativos y pedagógicos</t>
  </si>
  <si>
    <t>R4. La UBPD es reconocida como la entidad lider en la búsqueda humanitaria, extrajudicial y participatia generando confianza y credibilidad, y aumentando la concicencia pública sobre el fenómeno de la desaparación.</t>
  </si>
  <si>
    <t>L4-P1-CP-2026 Estrategia Integral de Comunicaciones y Pedagogía 2026</t>
  </si>
  <si>
    <t>L4-CEP-002</t>
  </si>
  <si>
    <t xml:space="preserve">"Número de acciones de comunicación pedagógica desarrolladas por la UBPD  </t>
  </si>
  <si>
    <t>Realizar seguimiento a las acciones de comunicación pedagógica orientadas a la sensibilización y visibilización de la magnitud y los impactos de la desaparición, dirigidas a los públicos objetivo definidos por la UBPD, incorporando enfoques diferencial, étnico y territorial.</t>
  </si>
  <si>
    <t xml:space="preserve">"Se entiende por acción de comunicación pedagógica toda actividad desarrollada por la Unidad de Búsqueda de Personas dadas por Desaparecidas (UBPD) orientada a facilitar la comprensión, apropiación, socialización, las funciones y los procesos de búsqueda de personas dadas por desaparecidas, mediante estrategias pedagógicas dirigidas a diferentes grupos de interés.
Para efectos del indicador, se contabiliza cada acción de comunicación pedagógica realizada durante el periodo de reporte, siempre que cuente con registro verificable de su realización (acta, informe de actividad, registro audiovisual, listado de asistencia, enlace de publicación u otro soporte institucional).
Las acciones de comunicación pedagógica se clasifican en las siguientes categorías:
Actividades pedagógicas realizadas con los distintos grupos de interés y otros sectores.
Actividades pedagógicas realizadas en el marco de la agenda conmemorativa.
Actividades de comunicación pedagógica realizadas en el marco del SNB.
Estrategias de pedagogía realizadas en el marco de los convenios de la UBPD y las alianzas estratégicas.
Actividades pedagógicas orientadas a comprender la labor de la UBPD.
La unidad de medida corresponde al número total de acciones de comunicación pedagógica desarrolladas en el periodo, independientemente del número de asistentes o participantes."								</t>
  </si>
  <si>
    <t>∑= V1t… V2t</t>
  </si>
  <si>
    <t>Número de acciones de comunicación pedagógica llevadas a cabo en territorio</t>
  </si>
  <si>
    <t>Número de acciones de comunicación pedagógica llevadas a cabo en nivel central</t>
  </si>
  <si>
    <t>Matriz reporte OACP 2026</t>
  </si>
  <si>
    <t>Avance del indicador - Enero – febrero 2026)
Con corte al 25 de enero de 2026, la Unidad de Búsqueda de Personas dadas por Desaparecidas, a través de los Grupos Internos de Trabajo Territorial (GITT), desarrolló 4 acciones de comunicación pedagógica, discriminadas de la siguiente manera: 2 actividades pedagógicas dirigidas a grupos de interés, 1 actividad en el marco de la agenda conmemorativa y 1 actividad orientada a comprender la labor de la UBPD.
Posteriormente, durante el periodo comprendido entre el 26 de enero y el 25 de febrero de 2026, los GITT desarrollaron 99 acciones de comunicación pedagógica, distribuidas así: 70 actividades dirigidas a grupos de interés y otros sectores, 15 actividades orientadas a comprender la labor de la UBPD, 10 actividades en el marco de la agenda conmemorativa y 4 actividades de pedagogía desarrolladas en el marco de convenios y alianzas estratégicas.
Adicionalmente, a nivel central se realizaron 3 acciones de comunicación pedagógica, correspondientes a 1 actividad en el marco de la agenda conmemorativa y 2 actividades orientadas a comprender la labor de la UBPD. En total, para el periodo enero–febrero de 2026 se registraron 106 acciones de comunicación pedagógica desarrolladas por la UBPD.</t>
  </si>
  <si>
    <t xml:space="preserve">Durante el periodo comprendido entre el 1 de enero y el 25 de febrero de 2026, los GITT desarrollaron 99 acciones de comunicación pedagógica, distribuidas de la siguiente manera: 70 actividades dirigidas a grupos de interés y otros sectores, 15 actividades orientadas a comprender la labor de la UBPD, 10 actividades en el marco de la agenda conmemorativa y 4 actividades de pedagogía desarrolladas en el marco de convenios y alianzas estratégicas.
Adicionalmente, a nivel central se realizaron 3 acciones de comunicación pedagógica, correspondientes a 1 actividad en el marco de la agenda conmemorativa y 2 actividades orientadas a comprender la labor de la UBPD.
</t>
  </si>
  <si>
    <t xml:space="preserve">La información reportada corresponde a las acciones de comunicación pedagógica desarrolladas en los territorios y a nivel central, registradas y consolidadas a partir de la matriz de seguimiento implementada para el reporte del indicador en la vigencia 2026.                                                                </t>
  </si>
  <si>
    <t>Durante el mes de marzo de 2026, se desarrollaron 96 acciones de comunicación pedagógica, evidenciando la continuidad en la implementación de las estrategias pedagógicas a nivel territorial y central. Estas acciones se concentraron principalmente en actividades dirigidas a grupos de interés y otros sectores (78), seguidas de estrategias en el marco de convenios y alianzas (8), actividades en agenda conmemorativa (2) y acciones orientadas a la comprensión de la labor de la UBPD (8).
En conjunto, para el primer trimestre de 2026 se registraron 202 acciones de comunicación pedagógica, evidenciando un crecimiento significativo frente al inicio de la vigencia y la consolidación progresiva del despliegue territorial de la estrategia pedagógica de la entidad.</t>
  </si>
  <si>
    <t>Durante el primer trimestre de 2026 se evidenció la consolidación del despliegue territorial de las acciones de comunicación pedagógica de la Unidad de Búsqueda de Personas dadas por Desaparecidas, especialmente a partir del mes de febrero, con una ejecución sostenida que permitió alcanzar un total de 202 acciones en el periodo.
Se destaca el fortalecimiento de las actividades dirigidas a grupos de interés y otros sectores, las cuales concentraron la mayor proporción de las acciones desarrolladas, contribuyendo a la sensibilización y apropiación social del mandato de la UBPD en los territorios.
Así mismo, se logró avanzar en la implementación de estrategias pedagógicas en el marco de convenios y alianzas, ampliando el alcance institucional, y en el desarrollo de acciones orientadas a la comprensión de la labor de la entidad, fortaleciendo los procesos de información y relacionamiento con actores clave.</t>
  </si>
  <si>
    <t>La información reportada corresponde a las acciones de comunicación pedagógica desarrolladas a nivel territorial y central, consolidadas a partir de la matriz de seguimiento implementada para el reporte del indicador en la vigencia 2026.</t>
  </si>
  <si>
    <t>Durante el periodo del 26 de marzo al 25 de abril de 2026, con los GITT se desarrollaron 10 actividades pedagógicas orientadas a la comprensión de la labor institucional, 73 dirigidas a grupos de interés y otros sectores, 44 en el marco de la agenda conmemorativa y 8 asociadas a convenios y alianzas. A nivel central, se realizaron 3 actividades pedagógicas con grupos de interés y 1 en agenda conmemorativa. Total 139 acciones.
De manera extraordinaria, y como parte del cierre del primer trimestre de 2026, se incorporan 59 actividades de pedagogía no reportadas oportunamente, debido a procesos de consolidación y validación de soportes técnicos, correspondientes al nivel territorial.</t>
  </si>
  <si>
    <t>Durante el periodo comprendido entre el 26 de marzo y el 25 de abril de 2026, la Unidad de Búsqueda de Personas dadas por Desaparecidas desarrolló 139 acciones de comunicación pedagógica, evidenciando una ejecución sostenida en el despliegue territorial de la estrategia pedagógica.
Se destaca la alta participación de actividades dirigidas a grupos de interés y en el marco de la agenda conmemorativa, lo que permitió fortalecer los procesos de sensibilización, apropiación y difusión del mandato institucional en los territorios.
Así mismo, se avanzó en la articulación de acciones pedagógicas en el marco de convenios y alianzas, ampliando el alcance de la estrategia, y en el fortalecimiento de los procesos orientados a la comprensión de la labor de la entidad.
De manera complementaria, y como resultado del proceso de validación y consolidación de información, se incorporaron 59 acciones de comunicación pedagógica correspondientes a periodos anteriores, que no habían sido reportadas oportunamente debido a ajustes en los soportes técnicos. Esta actualización no modifica el comportamiento del periodo actual, pero sí fortalece la consistencia y trazabilidad del indicador en su acumulado.</t>
  </si>
  <si>
    <t>Del 26 de abril al 25 de mayo de 2026 en articulación con los GITT se desarrollaron 18 actividades pedagógicas orientadas a la comprensión de la labor institucional, 54 dirigidas a grupos de interés, 18 de agenda conmemorativa, 6 asociadas a actividades en el marco del Sistema Nacional de Búsqueda y 8 asociadas a convenios y alianzas. A nivel central, se realizaron 2 actividades pedagógicas con grupos de interés, 1 en agenda conmemorativa y 1 asociada a convenios y alianzas.</t>
  </si>
  <si>
    <t>Durante el periodo comprendido entre el 26 de abril y el 25 de mayo de 2026, la Unidad de Búsqueda de Personas dadas por Desaparecidas fortaleció la implementación de acciones de comunicación pedagógica mediante el desarrollo de actividades orientadas a la comprensión de la labor institucional, la interacción con grupos de interés y la participación en espacios conmemorativos y de articulación interinstitucional.
Se destaca la realización de 56 acciones dirigidas a grupos de interés, consolidando espacios de diálogo, sensibilización y apropiación del mandato humanitario y extrajudicial de la entidad. De igual manera, se desarrollaron 19 acciones en el marco de la agenda conmemorativa, contribuyendo al fortalecimiento de la memoria, el reconocimiento de las víctimas y la visibilización de los procesos de búsqueda.
Así mismo, se avanzó en la consolidación de alianzas estratégicas y convenios con diferentes actores, mediante la ejecución de 9 acciones conjuntas, y se fortaleció la articulación institucional en el marco del Sistema Nacional de Búsqueda a través de 6 actividades orientadas al intercambio de conocimientos y la coordinación de esfuerzos para la búsqueda de personas dadas por desaparecidas.
Finalmente, las acciones desarrolladas para promover la comprensión de la labor institucional permitieron continuar ampliando el conocimiento sobre el mandato, las competencias y los servicios de la UBPD entre diversos públicos y actores estratégicos.</t>
  </si>
  <si>
    <t>La información reportada corresponde a las acciones de comunicación pedagógica desarrolladas entre el 26 de abril y el 25 de mayo de 2026 por los Grupos Internos de Trabajo Territorial (GITT) y el nivel central, consolidada a partir de los registros y soportes generados en cada actividad.
Los resultados evidencian una mayor concentración de acciones dirigidas a grupos de interés y a procesos de comprensión de la labor institucional, en coherencia con las estrategias de fortalecimiento del relacionamiento territorial, la apropiación social del mandato de la UBPD y la difusión de sus acciones misionales.
Se continuará fortaleciendo la articulación con actores institucionales, comunitarios y académicos, así como los mecanismos de registro y reporte de información, con el fin de garantizar la calidad, consistencia y trazabilidad de los datos asociados al indicador.</t>
  </si>
  <si>
    <t>L4-CEP-003</t>
  </si>
  <si>
    <t xml:space="preserve">Número de acciones de comunicación masiva e institucional desarrolladas por la UBPD					</t>
  </si>
  <si>
    <t>Realizar seguimiento a las acciones de comunicación orientadas a la difusión, posicionamiento y reconocimiento de la UBPD y su gestión, a través de medios de comunicación propios, masivos, regionales, comunitarios y digitales.</t>
  </si>
  <si>
    <t xml:space="preserve">"Se entiende por acción de comunicación masiva e institucional todo producto o contenido comunicativo generado, gestionado o difundido por la Unidad de Búsqueda de Personas dadas por Desaparecidas (UBPD) a través de medios de comunicación propios, masivos, regionales, comunitarios o digitales, con el propósito de informar, posicionar y visibilizar ante la opinión pública el mandato, las acciones y los avances de la entidad en la búsqueda de personas dadas por desaparecidas.
Para efectos del indicador, se contabiliza el número total de acciones de comunicación masiva e institucional publicadas o emitidas durante el periodo de reporte, siempre que cuenten con evidencia verificable de su difusión.
El indicador se calcula a partir de la sumatoria de las siguientes variables:
Número de boletines de prensa realizados y publicados en la página web institucional.
Número de publicaciones en medios de comunicación nacional y regional que hacen referencia a la UBPD o a sus acciones.
Número de publicaciones en redes sociales institucionales.
Número de publicaciones de contenidos especiales y actualizaciones en la página web institucional.
Número de informativos periódicos “Así Avanzamos”.
Número de programas radiales emitidos “La Búsqueda Repara”.
Número de emisiones de códigos cívicos y/o publicaciones en televisión.
La unidad de medida corresponde al número total de acciones de comunicación masiva e institucional desarrolladas en el periodo de seguimiento.
Criterios de exclusión
No se contabilizan:
Contenidos que no hayan sido publicados o emitidos oficialmente.
Productos comunicativos en proceso de elaboración o revisión.
Contenidos producidos por terceros que no hagan referencia directa a la UBPD o que no hayan sido gestionados o difundidos por la entidad."                                                             </t>
  </si>
  <si>
    <t xml:space="preserve">∑= V1t…V2t..V3t…V4t…V5t...V6t…V7							</t>
  </si>
  <si>
    <t>Número de boletines de prensa realizados y publicados en la página web de la entidad</t>
  </si>
  <si>
    <t>Número de publicaciones en medios de comunicación nacional y regional</t>
  </si>
  <si>
    <t>Número de publicaciones en redes sociales institucionales</t>
  </si>
  <si>
    <t>Número de publicaciones de contenidos especiales y actualizaciones en la página web institucional</t>
  </si>
  <si>
    <t>Número de informativos periódicos "Asi Avanzamos"</t>
  </si>
  <si>
    <t>Número de programas radiales emitidos “La Búsqueda Repara”.</t>
  </si>
  <si>
    <t xml:space="preserve">Número de emisiones de códigos cívicos y/o publicaciones en TV.							</t>
  </si>
  <si>
    <t xml:space="preserve">Durante el periodo 01 de enero al 25 de enero de 2026, la Unidad de Búsqueda de Personas dadas por Desaparecidas desarrolló 92 acciones de comunicación masiva e institucional, correspondientes principalmente a publicaciones en redes sociales institucionales, publicaciones en medios de comunicación y boletines de prensa publicados en la página web. Estas acciones estuvieron orientadas a la difusión de información institucional y al posicionamiento de la gestión de la entidad en diferentes canales de comunicación.
Posteriormente, durante el periodo comprendido entre el 26 de enero y el 25 de febrero de 2026, se registraron 649 acciones de comunicación masiva e institucional, evidenciando un incremento significativo en la producción y difusión de contenidos. Este comportamiento se explica principalmente por el aumento en las publicaciones en redes sociales institucionales, la gestión de publicaciones en medios de comunicación y la producción de boletines de prensa y contenidos para la página web institucional, liderados principalmente desde el nivel central.							</t>
  </si>
  <si>
    <t>Incremento significativo en la difusión de contenidos institucionales a través de redes sociales, consolidando estos canales como uno de los principales medios de comunicación con la ciudadanía.
Fortalecimiento de la gestión con medios de comunicación nacionales y regionales, permitiendo ampliar la visibilidad de las acciones desarrolladas por la Unidad de Búsqueda de Personas dadas por Desaparecidas.
Producción y publicación de boletines de prensa y contenidos institucionales en la página web, contribuyendo a la divulgación oportuna de información relevante para los diferentes grupos de interés.</t>
  </si>
  <si>
    <t>Los resultados reportados corresponden a las acciones registradas por el nivel central y los equipos territoriales durante los periodos 01 de enero al 25 de enero de 2026 y 26 de enero al 25 de febrero de 2026, de acuerdo con los registros internos de producción de contenidos y seguimiento a las publicaciones en medios de comunicación, redes sociales institucionales y página web.</t>
  </si>
  <si>
    <t>Durante el periodo comprendido entre el 26 de febrero y el 25 de marzo de 2026, se reportaron 523 acciones de comunicación masiva e institucional, manteniendo un nivel alto de producción de contenidos, con énfasis en publicaciones en medios de comunicación, redes sociales institucionales y boletines de prensa. Esto evidencia la continuidad y consolidación de la estrategia de difusión institucional en múltiples canales.</t>
  </si>
  <si>
    <t>Durante el primer trimestre de 2026, la Unidad de Búsqueda de Personas dadas por Desaparecidas evidenció un fortalecimiento significativo en la estrategia de comunicación masiva e institucional, reflejado en el incremento de la producción y difusión de contenidos a través de múltiples canales.
Se destaca el posicionamiento de las redes sociales institucionales como principal canal de difusión, concentrando un volumen importante de publicaciones, lo que permitió ampliar el alcance y la interacción con la ciudadanía.
Así mismo, se fortaleció la gestión con medios de comunicación nacionales y regionales, logrando una alta visibilidad de las acciones institucionales en la agenda mediática, especialmente desde el nivel central.
De igual manera, se consolidó la producción de contenidos institucionales en la página web y boletines de prensa, garantizando la divulgación oportuna de información relevante para los diferentes grupos de interés.</t>
  </si>
  <si>
    <t>La información reportada corresponde a las acciones de comunicación masiva e institucional desarrolladas a nivel territorial y central, consolidadas a partir de los registros de cada una de las variables del indicador y verificadas mediante los soportes de publicación y emisión correspondientes.</t>
  </si>
  <si>
    <t>Durante el periodo comprendido entre el 26 de marzo y el 25 de abril de 2026, se registraron 1044 acciones de comunicación masiva e institucional, evidenciando un incremento significativo en la producción y difusión de contenidos. Este comportamiento se explica principalmente por el aumento en las publicaciones en redes sociales institucionales, la gestión de contenidos en medios de comunicación nacional y regional, y la producción de boletines de prensa y contenidos web, liderados en su mayoría desde el nivel central.
Es importante señalar que la variable “Número de programas radiales emitidos ‘La Búsqueda Repara’” no presenta ejecución durante el periodo, debido a que su desarrollo depende del contrato de central de medios, el cual actualmente se encuentra en proceso precontractual.</t>
  </si>
  <si>
    <t>Durante el periodo comprendido entre el 26 de marzo y el 25 de abril de 2026, la Unidad de Búsqueda de Personas dadas por Desaparecidas evidenció un fortalecimiento en la estrategia de comunicación masiva e institucional, reflejado en el incremento en la producción y difusión de contenidos a través de canales digitales, medios de comunicación y plataformas institucionales.
Se destaca la consolidación de las redes sociales institucionales como principal canal de difusión, así como el posicionamiento de contenidos en medios de comunicación nacionales y regionales, lo que contribuyó a ampliar la visibilidad del mandato y las acciones de la entidad ante la opinión pública.
Así mismo, se fortaleció la producción de contenidos web y boletines de prensa, permitiendo una difusión oportuna y estructurada de la información institucional, en articulación con las necesidades de las diferentes dependencias.</t>
  </si>
  <si>
    <t>La información reportada corresponde a las acciones de comunicación masiva e institucional desarrolladas durante el periodo, consolidadas a partir de los registros de cada una de las variables del indicador y verificadas mediante los respectivos soportes de publicación y emisión en medios digitales, web y redes sociales institucionales.</t>
  </si>
  <si>
    <t>Durante el periodo comprendido entre el 26 de abril y el 25 de mayo de 2026, se registraron 1.919 acciones de comunicación masiva e institucional, evidenciando un incremento significativo frente al periodo anterior. Este comportamiento se explica principalmente por el aumento en las publicaciones realizadas en redes sociales institucionales, que continúan siendo el principal canal de difusión de la entidad, así como por la gestión de contenidos en medios de comunicación nacional y regional y la producción de boletines de prensa.
Del total de acciones reportadas, se destaca la participación del nivel central en la generación de contenidos para redes sociales institucionales, así como el fortalecimiento de las acciones de difusión en medios de comunicación y la producción de contenidos orientados al posicionamiento del mandato y la gestión de la UBPD.
Es importante señalar que la variable “Número de programas radiales emitidos ‘La Búsqueda Repara’” no presenta ejecución durante el periodo, debido a que su desarrollo depende del contrato de central de medios, el cual actualmente se encuentra en proceso precontractual.</t>
  </si>
  <si>
    <t>Durante el periodo reportado, la Unidad de Búsqueda de Personas dadas por Desaparecidas fortaleció su estrategia de comunicación masiva e institucional mediante la producción y difusión de contenidos a través de canales digitales, medios de comunicación y plataformas institucionales.
Se destaca el incremento en las publicaciones de redes sociales institucionales, las cuales permitieron ampliar el alcance de los mensajes relacionados con el mandato humanitario y extrajudicial de la entidad, las acciones de búsqueda y las actividades desarrolladas en los territorios.
Así mismo, se fortaleció el posicionamiento institucional mediante la gestión de contenidos en medios de comunicación nacionales y regionales, la publicación de boletines de prensa y la actualización permanente de los canales institucionales, contribuyendo a una mayor visibilidad de la gestión de la UBPD y al acercamiento con diferentes grupos de interés.</t>
  </si>
  <si>
    <t>La información reportada corresponde a las acciones de comunicación masiva e institucional desarrolladas entre el 26 de abril y el 25 de mayo de 2026, consolidadas a partir de los registros de cada una de las variables que componen el indicador y verificadas mediante los respectivos soportes de publicación y difusión.
Los resultados evidencian una dinámica creciente en la producción y circulación de contenidos institucionales, con una alta participación de las redes sociales y los medios de comunicación como principales canales para la difusión del mandato, las acciones y los resultados de la Unidad de Búsqueda de Personas dadas por Desaparecidas.</t>
  </si>
  <si>
    <t>L4-CEP-004</t>
  </si>
  <si>
    <t>"Número de apariciones de la UBPD en medios de comunicación (Free Press)"</t>
  </si>
  <si>
    <t>Realizar seguimiento a las apariciones y menciones de la UBPD en medios de comunicación obtenidas de manera orgánica, con el fin de medir el posicionamiento institucional y la visibilidad de la gestión de la entidad en la agenda mediática nacional y regional.</t>
  </si>
  <si>
    <t xml:space="preserve">"Se entiende por aparición en medios de comunicación (Free Press) toda mención, publicación, nota informativa, entrevista o referencia a la Unidad de Búsqueda de Personas dadas por Desaparecidas (UBPD) o a sus acciones institucionales en medios de comunicación nacionales, regionales, comunitarios o digitales, obtenida de manera orgánica y no pagada.
Para efectos del indicador, se contabiliza cada aparición registrada en medios de comunicación durante el periodo de reporte, incluyendo prensa escrita, medios digitales, radio y televisión, siempre que la información haga referencia directa a la UBPD, su mandato, sus acciones o resultados en el proceso de búsqueda de personas dadas por desaparecidas.
Las apariciones se registran con base en el monitoreo y seguimiento de medios realizado por la entidad o por herramientas de monitoreo de prensa, y deben contar con evidencia verificable de la publicación o emisión.
La unidad de medida corresponde al número total de apariciones o menciones registradas en medios de comunicación durante el periodo de seguimiento"								</t>
  </si>
  <si>
    <t xml:space="preserve">∑= V1t… V2t </t>
  </si>
  <si>
    <t xml:space="preserve">"Monto ahorrado en la vigencia por actividad de tipo i	</t>
  </si>
  <si>
    <t>Monto ($)</t>
  </si>
  <si>
    <t>Informes presentados por la empresa de monitoreo de medios de la UBPD.</t>
  </si>
  <si>
    <t>Durante el periodo reportado no se cuenta con información para el indicador, debido a que el monitoreo y consolidación de las apariciones de la Unidad de Búsqueda de Personas dadas por Desaparecidas en medios de comunicación es realizado por un contratista externo (persona jurídica) encargado del servicio de seguimiento de medios. Actualmente, la entidad se encuentra adelantando el proceso contractual correspondiente para la contratación de dicho servicio, por lo cual la información asociada a este indicador no se encuentra disponible para el periodo de reporte.</t>
  </si>
  <si>
    <t>Durante el periodo se adelantaron las gestiones administrativas necesarias para la contratación del servicio de monitoreo y seguimiento de medios de comunicación, el cual permitirá consolidar la información relacionada con las apariciones de la Unidad de Búsqueda de Personas dadas por Desaparecidas en medios de comunicación a nivel nacional y regional.</t>
  </si>
  <si>
    <t>La información asociada al indicador será reportada una vez se formalice el proceso contractual del servicio de monitoreo de medios, encargado de realizar la identificación y consolidación de las apariciones de la entidad en la agenda mediática.</t>
  </si>
  <si>
    <t>Durante el periodo reportado no se cuenta con información para el indicador, debido a que el monitoreo y consolidación de las apariciones de la Unidad de Búsqueda de Personas dadas por Desaparecidas en medios de comunicación es realizado por un contratista externo (persona jurídica) encargado del servicio de seguimiento de medios.
Actualmente, la entidad se encuentra adelantando el proceso precontractual para la contratación de este servicio, cuyo objeto es la prestación de servicios de monitoreo de medios de comunicación a nivel nacional, regional y local, con el fin de identificar, registrar y analizar las menciones de la entidad en la agenda mediática.
Es importante señalar que, conforme a lo establecido en el anexo técnico del proceso, el contratista deberá entregar el consolidado de las noticias y menciones de la UBPD desde el 01 de enero de 2026 hasta la fecha de inicio de ejecución del contrato, lo que permitirá realizar la actualización retroactiva del indicador y garantizar la consistencia y trazabilidad de la información reportada.</t>
  </si>
  <si>
    <t>0</t>
  </si>
  <si>
    <t>Durante el periodo comprendido entre el 26 de marzo y el 25 de abril de 2026, la Unidad de Búsqueda de Personas dadas por Desaparecidas no reporta información cuantitativa para el indicador “Número de apariciones en medios de comunicación (Free Press)”, debido a que la medición depende del servicio de monitoreo de medios contratado con el tercero especializado.
No obstante, se evidencia un avance en la gestión del indicador, dado que se suscribió el Contrato No. 497-2026 UBPD con FLT Comunicaciones S.A.S., cuyo objeto es la prestación de servicios de monitoreo de medios de comunicación a nivel nacional, regional y local.
A la fecha de corte del reporte, el contratista se encuentra en proceso de consolidación y entrega de los productos contractuales, los cuales incluyen el listado de noticias y menciones de la UBPD en medios de comunicación desde el 01 de enero de 2026. Una vez se reciban estos entregables, se procederá a la actualización retroactiva del indicador, garantizando la trazabilidad y consistencia de la información.</t>
  </si>
  <si>
    <t>Suscripción del Contrato No. 497-2026 UBPD, lo que permite avanzar en la implementación del monitoreo especializado de medios y en la estructuración técnica del indicador.
Definición de lineamientos y alcance del servicio de monitoreo, orientados a garantizar la identificación, registro y análisis de las apariciones de la entidad en medios de comunicación a nivel nacional, regional y local</t>
  </si>
  <si>
    <t>La medición del indicador depende del servicio especializado de monitoreo de medios contratado por la entidad, por lo cual la información será reportada una vez se reciban y validen los entregables por parte del contratista.
Se precisa que los productos contractuales contemplan la entrega retroactiva de las apariciones en medios desde el 01 de enero de 2026, lo que permitirá actualizar el indicador y garantizar la integridad, consistencia y trazabilidad de la información reportada por la Unidad de Búsqueda de Personas dadas por Desaparecidas.</t>
  </si>
  <si>
    <t>Durante el mes de mayo de 2026, la Unidad de Búsqueda de Personas dadas por Desaparecidas avanzó en la consolidación de la información requerida para la medición del indicador “Número de apariciones en medios de comunicación (Free Press)”, en el marco de la ejecución del Contrato No. 497-2026 UBPD suscrito con FLT Comunicaciones S.A.S.
Durante este periodo, el contratista realizó la entrega del reporte de monitoreo correspondiente al mes de abril de 2026, constituyéndose en el primer insumo formal para la consolidación de las apariciones de la entidad en medios de comunicación nacionales, regionales y locales.
Así mismo, desde la Oficina Asesora de Comunicaciones y Pedagogía se remitió al contratista el consolidado de apariciones y menciones reportadas por los 27 Grupos Internos de Trabajo Territorial (GITT), con el propósito de complementar y validar la información obtenida a través del monitoreo especializado, fortaleciendo la cobertura y calidad de los registros.
A la fecha de corte, se encuentran pendientes los reportes correspondientes a los meses de enero, febrero y marzo de 2026, así como la consolidación del reporte de mayo, cuya entrega está programada para junio. Una vez recibida y validada la totalidad de la información, se procederá a la actualización integral del indicador para la vigencia.</t>
  </si>
  <si>
    <t>Recepción del primer informe de monitoreo de medios correspondiente al mes de abril de 2026.
Fortalecimiento del proceso de validación y consolidación de la información mediante la articulación con los 27 GITT y la remisión de los reportes territoriales al contratista.
Avance en la estructuración de la línea base de información que permitirá medir de manera integral el posicionamiento de la UBPD en medios de comunicación nacionales, regionales y locales.
Consolidación de mecanismos de seguimiento y control para garantizar la trazabilidad y calidad de la información reportada por el proveedor del servicio de monitoreo.</t>
  </si>
  <si>
    <t>La medición del indicador depende de la información suministrada por el servicio especializado de monitoreo de medios contratado por la entidad.
Durante el mes de mayo se recibió el reporte correspondiente a abril de 2026 y se remitió al contratista la información consolidada de apariciones reportadas por los 27 GITT para su validación e inclusión en los informes oficiales. No obstante, la consolidación definitiva del indicador se realizará una vez se reciban los reportes pendientes y se complete el proceso de validación de la información.
Se continuará realizando seguimiento al cumplimiento de las obligaciones contractuales, con el fin de garantizar la oportunidad, consistencia y trazabilidad de los datos asociados al indicador.</t>
  </si>
  <si>
    <t>L4-CEP-005</t>
  </si>
  <si>
    <t>Número de productos de comunicación interna desarrollados por la UBPD</t>
  </si>
  <si>
    <t>Realizar seguimiento a los productos de comunicación interna desarrollados por la Unidad de Búsqueda de Personas dadas por Desaparecidas, orientados a fortalecer los procesos de información, difusión y sensibilización institucional entre los servidores, colaboradores y equipos territoriales de la entidad.</t>
  </si>
  <si>
    <t xml:space="preserve">"Se entiende por productos de comunicación interna los contenidos y piezas comunicativas elaborados y difundidos por la UBPD con el propósito de informar, articular y fortalecer el flujo de información institucional al interior de la entidad.
Para efectos del indicador, se contabiliza la sumatoria de los productos de comunicación interna publicados o difundidos durante el periodo de reporte, siempre que cuenten con evidencia verificable de su publicación o circulación.
El indicador se calcula a partir de las siguientes variables:
Número de boletines internos territoriales.
Número de publicaciones realizadas en la Intranet institucional.
Número de boletines internos emitidos desde el nivel central.
Número de piezas de comunicación interna elaboradas para apoyar la difusión de información institucional.
Nùmero de Campañas comunicativas y piezas de comunicación interna realizadas.
La unidad de medida corresponde al número total de productos de comunicación interna desarrollados durante el periodo de seguimiento."									</t>
  </si>
  <si>
    <t>Número de boletines internos territoriales</t>
  </si>
  <si>
    <t>Número de publicaciones en la intranet realizadas</t>
  </si>
  <si>
    <t>Número de boletines internos desde el Nivel Central</t>
  </si>
  <si>
    <t>Número de piezas de comunicación interna realizadas</t>
  </si>
  <si>
    <t>Número de Campañas comunicativas y piezas de comunicación interna realizadas.</t>
  </si>
  <si>
    <t xml:space="preserve">Matriz reporte OACP 2026 </t>
  </si>
  <si>
    <t>Con corte al 25 de enero de 2026, la Unidad de Búsqueda de Personas dadas por Desaparecidas desarrolló 69 productos de comunicación interna, entre los que se destacan 11 publicaciones en la Intranet, 10 boletines emitidos desde el nivel central (1 Conexión, 3 comunicados internos y 6 Info Express) y la producción de 48 piezas comunicativas para apoyar la difusión de información institucional.
Durante el periodo comprendido entre el 26 de enero y el 25 de febrero de 2026, se desarrollaron 141 productos de comunicación interna, entre los que se destacan 49 publicaciones en la Intranet, 13 boletines emitidos desde el nivel central, 20 boletines territoriales, la producción de 58 piezas comunicativas solicitadas por las dependencias y 1 campaña comunicativa interna.
Acumulado enero – febrero 2026: 210 productos de comunicación interna desarrollados.
Estas acciones contribuyen al fortalecimiento del flujo de información institucional y a la difusión de contenidos de interés para los servidores y colaboradores de la entidad.</t>
  </si>
  <si>
    <t>Durante el periodo reportado se fortaleció la producción y difusión de productos de comunicación interna en la Unidad de Búsqueda de Personas dadas por Desaparecidas, lo que permitió mantener informados a los servidores, colaboradores y equipos territoriales sobre las acciones, avances y actividades institucionales.
Se destaca el incremento en la publicación de contenidos en la Intranet, la emisión de boletines institucionales desde el nivel central y territorios, así como la elaboración de piezas comunicativas para apoyar la difusión de información institucional y las solicitudes de las distintas dependencias, contribuyendo al fortalecimiento del flujo de información interna.</t>
  </si>
  <si>
    <t>El aumento en el número de productos reportados durante el mes de febrero se relaciona con la consolidación de las dinámicas de comunicación interna y el incremento de solicitudes de piezas comunicativas por parte de las dependencias y equipos territoriales, así como con la implementación de acciones de difusión institucional programadas para la vigencia 2026.</t>
  </si>
  <si>
    <t>Durante el periodo comprendido entre el 26 de febrero y el 25 de marzo de 2026, se desarrollaron 146 productos de comunicación interna, manteniendo un alto nivel de ejecución. Se destacan 51 publicaciones en la Intranet, 14 boletines del nivel central (principalmente Info Express, comunicados internos y otros formatos institucionales), 13 boletines territoriales, 65 piezas comunicativas y 3 campañas comunicativas internas, entre ellas campañas institucionales asociadas a fechas conmemorativas y fortalecimiento del entorno laboral.
En conjunto, para el primer trimestre de 2026 se registraron 356 productos de comunicación interna, lo que representa un avance aproximado del 30% frente a la meta anual (1.200 productos), evidenciando un cumplimiento superior al esperado para el periodo y una adecuada dinámica de ejecución de la estrategia de comunicación interna de la Unidad de Búsqueda de Personas dadas por Desaparecidas.</t>
  </si>
  <si>
    <t>El comportamiento del indicador evidencia un incremento en la producción de productos de comunicación interna a partir del mes de febrero, asociado a la consolidación de las dinámicas de comunicación institucional y al aumento en la demanda de piezas comunicativas por parte de las dependencias y equipos territoriales.</t>
  </si>
  <si>
    <t>Durante el periodo comprendido entre el 26 de marzo y el 25 de abril de 2026, la Unidad de Búsqueda de Personas dadas por Desaparecidas desarrolló 140 productos de comunicación interna, manteniendo un nivel de ejecución estable frente al mes anterior.
Se destacan 41 publicaciones en la Intranet, 13 boletines del nivel central, 18 boletines territoriales, 65 piezas comunicativas y 3 campañas comunicativas internas, orientadas a fortalecer la difusión de información institucional y atender las necesidades de las diferentes dependencias y equipos territoriales.
El comportamiento del periodo refleja la continuidad en la producción de contenidos y la consolidación de los canales de comunicación interna como herramientas clave para la circulación oportuna de información institucional y el fortalecimiento de la articulación al interior de la entidad.</t>
  </si>
  <si>
    <t>Durante el periodo comprendido entre el 26 de marzo y el 25 de abril de 2026, la Unidad de Búsqueda de Personas dadas por Desaparecidas mantuvo una producción sostenida de productos de comunicación interna, alcanzando 140 productos, en línea con la dinámica del mes anterior.
Se destaca la consolidación de la Intranet institucional como canal principal de difusión, así como la continuidad en la emisión de boletines desde el nivel central y territorial, lo que permitió fortalecer el flujo de información entre las dependencias y equipos territoriales.
Así mismo, la producción de piezas comunicativas y campañas internas contribuyó a atender de manera oportuna las necesidades institucionales de difusión, fortaleciendo la articulación y el acceso a la información al interior de la entidad.</t>
  </si>
  <si>
    <t>La información reportada corresponde a los productos de comunicación interna desarrollados a nivel central y territorial durante el periodo, consolidada a partir de los registros de las diferentes variables del indicador y soportada mediante evidencias verificables de publicación y difusión.</t>
  </si>
  <si>
    <t>Durante el periodo comprendido entre el 26 de abril y el 25 de mayo de 2026, la Unidad de Búsqueda de Personas dadas por Desaparecidas desarrolló 116 productos de comunicación interna, manteniendo una producción constante de contenidos orientados a fortalecer los procesos de información, articulación y difusión institucional.
Se destacan 36 publicaciones en la Intranet, 14 boletines internos emitidos desde el nivel central, 5 boletines territoriales, 59 piezas de comunicación interna y 2 campañas comunicativas internas, dirigidas a promover el acceso oportuno a la información institucional y apoyar las necesidades de comunicación de las diferentes dependencias y equipos territoriales.
El comportamiento del periodo evidencia la consolidación de los canales institucionales de comunicación interna, particularmente la Intranet y las piezas comunicativas, como herramientas fundamentales para la circulación de información estratégica, el fortalecimiento de la cultura organizacional y el acompañamiento a las actividades misionales de la entidad.</t>
  </si>
  <si>
    <t>Durante el periodo reportado, la Unidad de Búsqueda de Personas dadas por Desaparecidas mantuvo una producción sostenida de productos de comunicación interna, alcanzando 116 productos orientados a fortalecer la comunicación y articulación entre el nivel central y los equipos territoriales.
Se destaca la continuidad de la Intranet institucional como uno de los principales canales de información interna, permitiendo la divulgación oportuna de contenidos de interés para servidores, colaboradores y equipos territoriales. De igual manera, la emisión de boletines internos desde el nivel central y los territorios contribuyó al fortalecimiento del flujo de información institucional y al acompañamiento de las actividades misionales.
Así mismo, la elaboración de piezas comunicativas y campañas internas permitió atender de manera efectiva las necesidades de difusión de las diferentes dependencias, promoviendo la apropiación de mensajes institucionales y fortaleciendo los procesos de comunicación organizacional.</t>
  </si>
  <si>
    <t>La información reportada corresponde a los productos de comunicación interna desarrollados a nivel central y territorial durante el periodo, consolidada a partir de los registros de las diferentes variables del indicador y soportada mediante evidencias verificables de publicación y difusión.
Los resultados reflejan la continuidad de las estrategias de comunicación interna de la entidad, con una participación destacada de las publicaciones en la Intranet, los boletines institucionales y las piezas comunicativas como mecanismos para garantizar la circulación oportuna de información entre los diferentes equipos de trabajo.
Se continuará fortaleciendo la articulación entre las dependencias y los equipos territoriales, así como los mecanismos de planeación, seguimiento y gestión de contenidos, con el fin de garantizar la calidad, pertinencia y oportunidad de la comunicación interna institucional.</t>
  </si>
  <si>
    <t>L4-CEP-006</t>
  </si>
  <si>
    <t>Número de espacios institucionales “En Sintonía” realizados</t>
  </si>
  <si>
    <t>Realizar seguimiento a los espacios institucionales “En Sintonía” desarrollados por la Unidad de Búsqueda de Personas dadas por Desaparecidas, orientados a fortalecer la difusión de información institucional, así como el conocimiento de la gestión, avances y resultados de la entidad entre los servidores, colaboradores y equipos territoriales.</t>
  </si>
  <si>
    <t>"Se entiende por espacios “En Sintonía” la publicación institucional de carácter periódico que recopila y difunde logros, aprendizajes, actividades y eventos relevantes de la UBPD, con el propósito de fortalecer el flujo de información interna y promover el sentido de unidad y articulación entre las diferentes dependencias y equipos territoriales.
Para efectos del indicador, se contabiliza cada edición del espacio “En Sintonía” publicada durante el periodo de reporte, siempre que cuente con evidencia verificable de su difusión a través de los canales institucionales de comunicación interna.
La unidad de medida corresponde al número de espacios “En Sintonía” realizados en el periodo de seguimiento."</t>
  </si>
  <si>
    <t>Número de espacios de “En Sintonía” realizados</t>
  </si>
  <si>
    <t>Enero de 2026
Con corte al 25 de enero de 2026, la Unidad de Búsqueda de Personas dadas por Desaparecidas realizó 1 espacio institucional “En Sintonía”, orientado a compartir con los servidores y colaboradores de la entidad los principales logros, aprendizajes y eventos institucionales, promoviendo el fortalecimiento de la comunicación interna.
Febrero de 2026
Durante el periodo comprendido entre el 26 de enero y el 25 de febrero de 2026, se realizó 1 espacio institucional “En Sintonía”, mediante el cual se difundieron avances, actividades relevantes y contenidos de interés institucional, contribuyendo al fortalecimiento del flujo de información interna.
Acumulado enero – febrero 2026: 2 espacios “En Sintonía” realizados.</t>
  </si>
  <si>
    <t>Durante el periodo reportado se garantizó la continuidad de la estrategia de comunicación interna “En Sintonía”, permitiendo difundir de manera periódica los principales avances, actividades y logros institucionales de la Unidad de Búsqueda de Personas dadas por Desaparecidas.
La realización de estos espacios contribuyó a fortalecer el flujo de información institucional y promover la apropiación de los resultados de la gestión, favoreciendo la articulación y el sentido de unidad entre las distintas dependencias y equipos territoriales de la entidad.</t>
  </si>
  <si>
    <t>La estrategia “En Sintonía” continúa consolidándose como un espacio periódico de comunicación interna para la socialización de información institucional relevante en la Unidad de Búsqueda de Personas dadas por Desaparecidas. Su desarrollo mensual permite mantener informados a los servidores y colaboradores sobre los avances, actividades y resultados de la entidad, fortaleciendo la circulación de información y la articulación entre las diferentes áreas y equipos territoriales.</t>
  </si>
  <si>
    <t>Durante el primer trimestre de 2026, la Unidad de Búsqueda de Personas dadas por Desaparecidas realizó tres (3) espacios institucionales “En Sintonía”, correspondientes a las ediciones publicadas los días 23 de enero, 27 de febrero y 27 de marzo de 2026, en cumplimiento de la programación mensual establecida.
Estos espacios permitieron la difusión de avances, actividades relevantes y contenidos de interés institucional, contribuyendo al fortalecimiento del flujo de información interna y al conocimiento de la gestión de la entidad por parte de servidores, colaboradores y equipos territoriales.
El comportamiento del indicador evidencia una ejecución constante y alineada con la periodicidad definida, garantizando la continuidad de este espacio como canal de comunicación interna institucional.</t>
  </si>
  <si>
    <t>Durante el periodo comprendido entre el 26 de marzo y el 25 de abril de 2026, la Unidad de Búsqueda de Personas dadas por Desaparecidas realizó un (1) espacio institucional “En Sintonía”, correspondiente a la edición publicada el 24 de abril de 2026, en cumplimiento de la programación mensual establecida.
Este espacio permitió la difusión de avances, actividades relevantes y contenidos de interés institucional, contribuyendo al fortalecimiento del flujo de información interna y al conocimiento de la gestión de la entidad por parte de servidores, colaboradores y equipos territoriales.
El comportamiento del indicador evidencia una ejecución constante y alineada con la periodicidad definida, garantizando la continuidad de “En Sintonía” como un canal institucional consolidado para la comunicación interna.</t>
  </si>
  <si>
    <t>Durante el periodo se logró la realización y difusión oportuna del espacio institucional “En Sintonía” correspondiente al mes de abril, en cumplimiento de la periodicidad establecida.
Se destaca la inclusión de contenidos orientados a la comprensión de procesos internos, particularmente mediante la socialización del rol del equipo de Ciencia de Datos, a través de piezas audiovisuales y contenidos pedagógicos que facilitaron la apropiación institucional sobre el uso y gestión de la información en la entidad.
Así mismo, se incorporaron estrategias de humanización del contenido, mediante recursos audiovisuales que visibilizan el trabajo de los equipos y fortalecen la conexión entre las dependencias, contribuyendo al reconocimiento de la gestión institucional.</t>
  </si>
  <si>
    <t>La información reportada corresponde al espacio institucional “En Sintonía” desarrollado durante el periodo, el cual cuenta con soporte verificable de su publicación y difusión a través de los canales internos de la Unidad de Búsqueda de Personas dadas por Desaparecidas.</t>
  </si>
  <si>
    <t>Durante el periodo comprendido del mes de mayo, la Unidad de Búsqueda de Personas dadas por Desaparecidas realizó un (1) espacio institucional “En Sintonía”, en cumplimiento de la programación mensual establecida para este canal de comunicación interna.
La edición desarrollada durante el periodo estuvo orientada a fortalecer el conocimiento institucional sobre estrategias misionales prioritarias para la vigencia 2026, destacándose la socialización de la estrategia “Búsqueda Igualitaria Activa: Escuchamos, Investigamos, Resolvemos”, así como los avances en la implementación de la Estrategia de Contacto Permanente y Diferenciado. Estos contenidos permitieron acercar a los servidores, colaboradores y equipos territoriales a los objetivos, líneas de trabajo y metas definidas para fortalecer la participación, la investigación y la activación de redes de información en los procesos de búsqueda.
El comportamiento del indicador evidencia la continuidad de “En Sintonía” como un espacio institucional de difusión y apropiación del conocimiento, contribuyendo al fortalecimiento de la articulación interna y al reconocimiento de las estrategias que orientan la gestión misional de la entidad.</t>
  </si>
  <si>
    <t>Durante el periodo se logró la realización y difusión oportuna del espacio institucional “En Sintonía”, garantizando la continuidad de este mecanismo de comunicación interna y su alcance entre los equipos del nivel central y territorial.
Se destaca la divulgación de contenidos relacionados con la estrategia “Búsqueda Igualitaria Activa”, permitiendo socializar sus objetivos, líneas de trabajo y metas institucionales, así como fortalecer la comprensión sobre los enfoques diferenciales, la participación de las personas buscadoras y las acciones orientadas a dinamizar los procesos de investigación y búsqueda.
Así mismo, se promovió el conocimiento de la Estrategia de Contacto Permanente y Diferenciado 2026, visibilizando los nuevos roles territoriales, los mecanismos de atención y las acciones orientadas a fortalecer el relacionamiento con las personas buscadoras, familias, organizaciones y comunidades.</t>
  </si>
  <si>
    <t>El indicador mantiene una ejecución acorde con la periodicidad mensual establecida, garantizando la continuidad de este espacio como mecanismo de difusión de información institucional, socialización de estrategias misionales y fortalecimiento de la comunicación interna.
Durante el periodo, el espacio permitió divulgar contenidos relacionados con la implementación de la estrategia “Búsqueda Igualitaria Activa” y la Estrategia de Contacto Permanente y Diferenciado 2026, contribuyendo a la apropiación institucional de lineamientos, objetivos y acciones estratégicas por parte de los equipos del nivel central y territorial.</t>
  </si>
  <si>
    <t>L4-CEP-007</t>
  </si>
  <si>
    <t>Número de personas participantes en actividades pedagógicas desarrolladas por la UBPD</t>
  </si>
  <si>
    <t>Realizar seguimiento a las acciones pedagógicas desarrolladas por la Unidad de Búsqueda de Personas dadas por Desaparecidas, mediante la medición del número de personas participantes en encuentros y actividades pedagógicas, con el fin de evaluar la cobertura institucional y fortalecer las estrategias de sensibilización e información a nivel nacional y territorial.</t>
  </si>
  <si>
    <t>"Se entiende por personas alcanzadas en actividades pedagógicas el número de personas que participan en los encuentros, espacios de socialización, talleres, conversatorios y demás acciones de comunicación pedagógica desarrolladas por la Unidad de Búsqueda de Personas dadas por Desaparecidas (UBPD) durante el periodo de reporte.
El indicador se calcula mediante la sumatoria del número de participantes registrados en cada una de las actividades pedagógicas realizadas, con base en los listados de asistencia, registros de participación u otros mecanismos de verificación utilizados por los equipos territoriales y el nivel central.
La unidad de medida corresponde al número total de personas participantes en las actividades pedagógicas desarrolladas en el periodo de seguimiento.
No se contabilizan:
Registros sin soporte verificable de participación."</t>
  </si>
  <si>
    <t>Número de personas alcanzadas en actividades pedagógicas realizadas en el periodo</t>
  </si>
  <si>
    <t>Con corte al 25 de enero de 2026, las acciones pedagógicas desarrolladas por la Unidad de Búsqueda de Personas dadas por Desaparecidas permitieron alcanzar 18 personas participantes en actividades pedagógicas realizadas a nivel territorial.
Durante el periodo comprendido entre el 26 de enero y el 25 de febrero de 2026, las actividades pedagógicas desarrolladas por la entidad permitieron alcanzar 3.006 personas participantes en los distintos encuentros y espacios pedagógicos realizados con grupos de interés y comunidades.
Acumulado enero – febrero 2026: 3.024 personas alcanzadas mediante actividades pedagógicas.</t>
  </si>
  <si>
    <t>Durante el periodo se fortaleció el despliegue territorial de las acciones pedagógicas de la Unidad de Búsqueda de Personas dadas por Desaparecidas, lo que permitió ampliar la cobertura institucional y aumentar la participación de comunidades y grupos de interés en los espacios de socialización y sensibilización sobre la labor de la entidad</t>
  </si>
  <si>
    <t>Durante el periodo comprendido entre el 26 de febrero y el 25 de marzo de 2026, se alcanzaron 3.951 personas, de las cuales 68 corresponden al nivel central y 3.883 al nivel territorial, manteniendo una tendencia creciente en la implementación de las acciones pedagógicas y consolidando la presencia institucional en los territorios.
En conjunto, el comportamiento del indicador evidencia una dinámica de crecimiento sostenido durante el trimestre, con una alta concentración de la cobertura en el nivel territorial, lo que refleja el enfoque de la entidad en la implementación de acciones pedagógicas directamente con comunidades y grupos de interés.
En términos de cumplimiento, el indicador presenta un avance del 10% frente a la meta anual (69.000 personas), consistente con la fase inicial de implementación de las estrategias pedagógicas y la progresiva ampliación de la cobertura durante la vigencia.</t>
  </si>
  <si>
    <t>Durante el primer trimestre de 2026, la Unidad de Búsqueda de Personas dadas por Desaparecidas logró una ampliación significativa en la cobertura de las acciones pedagógicas, alcanzando un total de 6.907 personas a nivel nacional.
Se destaca el despliegue territorial de las estrategias pedagógicas, evidenciado en la alta participación de comunidades y grupos de interés en los diferentes espacios desarrollados, lo que permitió fortalecer la socialización del mandato y las acciones de la entidad en los territorios.
Así mismo, se consolidó la articulación entre el nivel central y los equipos territoriales, garantizando la implementación de acciones pedagógicas con enfoque diferencial y territorial, y contribuyendo al fortalecimiento de la relación con actores clave en el proceso de búsqueda.</t>
  </si>
  <si>
    <t>La información reportada corresponde al número de personas participantes en las acciones pedagógicas desarrolladas a nivel territorial y central, consolidada a partir de los registros de asistencia y soportes generados en cada actividad.</t>
  </si>
  <si>
    <t>Durante el periodo comprendido entre el 26 de marzo y el 25 de abril de 2026, la Unidad de Búsqueda de Personas dadas por Desaparecidas reportó un total de 16.281 personas participantes en actividades pedagógicas desarrolladas a nivel nacional.
De este total, 1.811 personas corresponden a acciones desarrolladas desde el nivel central y 14.470 a actividades implementadas por los equipos territoriales, evidenciando un incremento significativo en la cobertura institucional y el fortalecimiento de la estrategia pedagógica en los territorios.
El comportamiento del indicador durante este periodo refleja una consolidación de las acciones de comunicación pedagógica y socialización del mandato de la entidad, mediante el desarrollo de encuentros, espacios de diálogo, talleres y jornadas de sensibilización dirigidas a comunidades, organizaciones sociales, familiares de personas dadas por desaparecidas y otros grupos de interés.
Así mismo, se evidencia una alta concentración de la participación en el nivel territorial, lo cual es consistente con el enfoque misional de la entidad orientado al trabajo directo con las comunidades y al fortalecimiento de la presencia institucional en las regiones.
De manera complementaria, y como resultado del proceso de validación y consolidación de información, se incorporaron 1.140 personas participantes correspondientes a periodos anteriores, que no habían sido reportadas oportunamente debido a ajustes en los soportes técnicos. Esta actualización no modifica el comportamiento del periodo actual; sin embargo, fortalece la consistencia, calidad y trazabilidad de la información consolidada del indicador.
En términos acumulados, la entidad registra un total de 24.328 personas alcanzadas durante la vigencia 2026, lo que representa un avance aproximado del 35% frente a la meta anual establecida de 69.000 personas participantes en actividades pedagógicas.</t>
  </si>
  <si>
    <t>Durante el periodo reportado, la Unidad de Búsqueda de Personas dadas por Desaparecidas fortaleció significativamente el despliegue territorial de las acciones pedagógicas y de sensibilización, mediante actividades desarrolladas en espacios comunitarios, académicos, culturales e institucionales en diferentes regiones del país.
Se destacan las jornadas pedagógicas, ferias, exposiciones fotográficas, encuentros con víctimas, estudiantes y comunidades, así como la participación en actos conmemorativos del 9 de abril – Día Nacional de la Memoria y Solidaridad con las Víctimas del Conflicto Armado, realizados en territorios como Antioquia, Chocó, Urabá, Santander, Atlántico, Magdalena, Córdoba, Cauca y Nariño.
Estas acciones permitieron fortalecer el reconocimiento del mandato humanitario y extrajudicial de la UBPD, ampliar la cobertura institucional, promover el diálogo con la ciudadanía y contribuir a la recepción de nuevas solicitudes de búsqueda y aportes de información para los procesos misionales de la entidad.
De manera complementaria, y como resultado del proceso de validación y consolidación de información, se incorporaron 1.140 registros correspondientes a personas participantes de periodos anteriores que no habían sido reportados oportunamente debido a ajustes en los soportes técnicos, fortaleciendo así la consistencia y trazabilidad de la información del indicador.</t>
  </si>
  <si>
    <t>La información reportada corresponde al número de personas participantes en las acciones pedagógicas desarrolladas a nivel territorial y central, consolidada a partir de los registros de asistencia y soportes generados en cada actividad.
Así mismo, los resultados evidencian una alta concentración de la cobertura en el nivel territorial, en coherencia con el enfoque misional de la Unidad de Búsqueda de Personas dadas por Desaparecidas orientado al trabajo directo con comunidades y grupos de interés.
De manera complementaria, y como resultado del proceso de validación y consolidación de información, se incorporaron 1.140 registros correspondientes a periodos anteriores que no habían sido reportados oportunamente debido a ajustes en los soportes técnicos, fortaleciendo la consistencia y trazabilidad de la información del indicador.
Se continuará fortaleciendo la estandarización de los criterios de registro y reporte de información, con el fin de garantizar la calidad, consistencia y trazabilidad de los datos del indicador.</t>
  </si>
  <si>
    <t>Durante el periodo comprendido entre el 26 de abril y el 25 de mayo de 2026, la Unidad de Búsqueda de Personas dadas por Desaparecidas reportó un total de 10.173 personas participantes en actividades pedagógicas desarrolladas a nivel nacional.
Este resultado evidencia la continuidad de las acciones de comunicación pedagógica orientadas a la socialización del mandato humanitario y extrajudicial de la entidad, así como al fortalecimiento de los procesos de sensibilización, diálogo y relacionamiento con comunidades, organizaciones sociales, familiares de personas dadas por desaparecidas y otros grupos de interés.
Las actividades desarrolladas durante el periodo permitieron ampliar el alcance de la estrategia pedagógica institucional mediante encuentros, jornadas de sensibilización, espacios de diálogo, actividades conmemorativas y acciones de articulación territorial, consolidando la presencia de la UBPD en diferentes regiones del país.
En términos acumulados, la entidad registra un total de 34.869 personas alcanzadas durante la vigencia 2026, lo que representa un avance del 50,53% frente a la meta anual establecida de 69.000 personas participantes en actividades pedagógicas.
El comportamiento del indicador refleja la consolidación de la estrategia pedagógica institucional y la capacidad de la entidad para mantener una amplia cobertura territorial, contribuyendo al fortalecimiento del conocimiento ciudadano sobre la búsqueda humanitaria y extrajudicial de personas dadas por desaparecidas.</t>
  </si>
  <si>
    <t>Durante el periodo reportado, la Unidad de Búsqueda de Personas dadas por Desaparecidas continuó fortaleciendo su estrategia de comunicación pedagógica mediante el desarrollo de actividades dirigidas a comunidades, organizaciones sociales, víctimas, instituciones educativas y otros grupos de interés en diferentes territorios del país.
Las acciones implementadas permitieron promover el conocimiento sobre el mandato de la entidad, fortalecer los procesos de participación y sensibilización ciudadana, y ampliar el relacionamiento con actores estratégicos que contribuyen a los procesos de búsqueda.
Así mismo, el resultado alcanzado permitió superar el 50% de cumplimiento de la meta anual establecida, evidenciando un avance significativo en la cobertura de las acciones pedagógicas y en el posicionamiento de la estrategia institucional en los territorios.</t>
  </si>
  <si>
    <t>La información reportada corresponde al número de personas participantes en las acciones pedagógicas desarrolladas a nivel territorial y central, consolidada a partir de los registros de asistencia y soportes generados en cada actividad.
Los resultados continúan evidenciando una amplia cobertura territorial de las acciones pedagógicas, en coherencia con el enfoque misional de la Unidad de Búsqueda de Personas dadas por Desaparecidas orientado al trabajo directo con comunidades, organizaciones y grupos de interés.
Con un acumulado de 34.869 personas participantes durante la vigencia 2026, la entidad alcanza un avance del 50,53% frente a la meta anual, reflejando la consolidación de las estrategias de sensibilización, información y apropiación social del mandato institucional.
Se continuará fortaleciendo la estandarización de los criterios de registro y reporte de información, con el fin de garantizar la calidad, consistencia y trazabilidad de los datos del indicador.</t>
  </si>
  <si>
    <t>Línea 5. Participación integral con enfoque diferencial: Plataforma de acción para la búsqueda</t>
  </si>
  <si>
    <t>R5. Las personas, familias y OCMP participan de manera activa, diferenciada y efectiva en el proceso de búsqueda</t>
  </si>
  <si>
    <t>L5-P1-PED-2026 Macro-estrategia de participación diferencial y fortalecimiento del tejido comunitario para la garantía del derecho a la búsqueda</t>
  </si>
  <si>
    <t>L5-IHAE-001</t>
  </si>
  <si>
    <t>Personas contactadas por la Estrategia de Contacto</t>
  </si>
  <si>
    <t>Realizar el seguimiento a la implementación de la Estrategia de Contacto Permanente en terminos del número de personas contactadas efectivamente desde el Nivel Nacional y el Nivel Regional.</t>
  </si>
  <si>
    <t>La estrategia de contacto permanente y diferenciado de la Unidad de Búsqueda busca garantizar el derecho a la verdad, a la información y a la toma de decisiones informadas al tiempo que se establecen y fortalecen vínculos de confianza con las familias de PDD, haciendo que se sientan acompañadas, escuchadas y respetadas en su proceso de búsqueda, reconociendo su papel activo y su derecho a la verdad y la reparación, incorporando los enfoques diferenciales para garantizar la participación efectiva de las PB.</t>
  </si>
  <si>
    <t>Número de personas contactadas por el Nivel Nacional</t>
  </si>
  <si>
    <t xml:space="preserve">Número de personas contactadas por los Enlaces Regionales </t>
  </si>
  <si>
    <t>SIM BUSQUEMOS
Reporta: Variables 1 y 2: Subdirección Técnica de Participación y Enfoques Diferenciales</t>
  </si>
  <si>
    <t>Este indicador hace referencia a los contactos efectivos que se realizaron desde:
 1. Nivel Central: contacto con la persona buscadora por los diferentes canales de atención con los que cuenta la entidad de acuerdo con los criterios de priorización.
 2. Nivel Regional: cuentan los contactos realizados por los enlaces regionales de contacto permanente con la PB de acuerdo con los criterios de priorización, en acumulado a la fecha de corte mensual.
En la vigencia del primer mes, se implementó la Estrategia de contacto permanente y diferenciado a través de la herramienta Línea de atención nacional a buscadoras y buscadores, a partir de la contratación del equipo conformado por tres (3) profesionales para el contacto, los cuales iniciaron los contactos con las personas en la segunda semana de enero.
A su vez, la herramienta de Canal presencial se logró con la contratación del equipo conformado por 9 profesionales en el rol de Enlaces Regionales de contacto permanente, quienes iniciaron sus acciones a través de la participación en capacitaciones e inducción de los temas asociados con sus obligaciones contractuales.
Por definición de la Estrategia, se avanza en su implementación, a partir de los dos criterios de priorización a saber: i) PDD sin registro en el SIM BUSQUEMOS del lugar de hechos de desaparición y ii) PB sin registro en el SIM BUSQUEMOS del lugar de residencia. Así mismo, el contacto con personas a través de los canales de atención de Servicio al Ciudadano.
Dichos contactos se registran en la herramienta dispuesta para tal, como es el Sistema de Información Misional - SIM BUSQUEMOS, en clave de vincular las solicitudes de búsqueda a los GITT para que las PB sean incorporadas a las acciones de participación en el marco de los PRB y sus Planes Operativos.
Este indicador hace referencia a los contactos efectivos que se realizaron desde:
 1. Nivel Central: contacto con la persona buscadora por los diferentes canales de atención con los que cuenta la entidad de acuerdo con los criterios de priorización.
 2. Nivel Regional: cuentan los contactos realizados por los enlaces regionales de contacto permanente con la PB de acuerdo con los criterios de priorización, corte mensual.
En la vigencia del mes de febrero, se avanzó en la implementación de la Estrategia de contacto permanente y diferenciado a través de la herramienta Línea de atención nacional a buscadoras y buscadores y de los Enlaces Regionales de contacto permanentes. 
Por definición de la Estrategia, se avanza en su implementación, a partir de los criterios de priorización a saber: i) Abordaje de Estrategia de completitud de información asociada a las SB con PDD que se encuentran en la Línea Basesin sin lugar de hechos de desaparición y ii) PDD de la Línea Base que tienen definida región de desaparición, pero no municipio de desaparición. Así mismo, el contacto con personas a través de los canales de atención de Servicio al Ciudadano.
Dichos contactos se registran en en Sistema de Información Misional, en clave de vincular las Solicitudes de Búsqueda a los GITT para que las PB sean incorporadas a las acciones de participación en el marco de los PRB y sus Planes Operativos.
Para el presente mes, la Línea Nacional contactó a 221 PB y los Enlaces Regionales a 49 PB, para un total mensual de 270 PB contactadas y un acumulado a la fecha de 355 PB contactadas.</t>
  </si>
  <si>
    <t>LOGROS:
El equipo de la Estrategia de contacto en el nivel nacional y regional avanza en la apropiación de los lineamientos y orientaciones para el cumplimiento efectivo de sus obligaciones contractuales.
DIFICULTADES:
Sin dificultades
Logros:
El equipo de la Línea Nacional y los Enlaces Regionales de contacto permanente coadyuvan como dinamizadores de contacto, aportando desde a Estrategia de contacto a la disminución del subregistro de información de SB que no se encuentran asociadas a PRB. 
Dificultades:
A la fecha, el indicador de contacto presenta un cumplimiento inferior a la meta proyectada debido al periodo de transición y curva de aprendizaje de los nuevos enlaces regionales. Actualmente, el equipo se encuentra en una fase de apropiación de herramientas tecnológicas y estandarización de procedimientos operativos. Se prevé que, una vez superada la etapa de acoplamiento, el ritmo de contacto se estabilice y alcance los niveles esperados.
Así mismo, fueron entregados los 5 celulares el 18 de febero en las ciudades de Barraquilla, Medellín, Pereira, Villavicencio y Bucaramanga.
De otra parte se avanza en la articulación con la SITH - GIT Sim para consolidar la información</t>
  </si>
  <si>
    <t>Por las dinámicas del registro, los datos peden sufrir modificaciones mes a mes, de modo que, ante cualquier consulta específica se debe acudir directamente a Busquemos dado que el avance cuantitativo que se relaciona, se da teniendo en cuenta la fecha de corte el que se reporta el indicador.
Por las dinámicas del registro, los datos peden sufrir modificaciones mes a mes, de modo que, ante cualquier consulta específica se debe acudir directamente a Busquemos dado que el avance cuantitativo que se relaciona, se da teniendo en cuenta la fecha de corte el que se reporta el indicador.</t>
  </si>
  <si>
    <t>Este indicador hace referencia a los contactos efectivos que se realizaron desde:
 1. Nivel Central: contacto con la persona buscadora por los diferentes canales de atención con los que cuenta la entidad de acuerdo con los criterios de priorización.
 2. Nivel Regional: cuentan los contactos realizados por los enlaces regionales de contacto permanente con la PB de acuerdo con los criterios de priorización, en acumulado a la fecha de corte mensual.
En la vigencia del mes de marzo, se avanzó en la implementación de la Estrategia de contacto permanente y diferenciado a través de la herramienta Línea de atención nacional a buscadoras y buscadores y de los Enlaces Regionales de contacto permanentes. 
Por definición de la Estrategia, se avanza  a partir de los criterios de priorización a saber: i) Abordaje de Estrategia de completitud de información asociada a las SB con PDD que se encuentran en la Línea Base sin sin lugar de hechos de desaparición y ii) PDD de la Línea Base que tienen definida región de desaparición, pero no municipio de desaparición. Así mismo, el contacto con personas a través de los canales de atención de Servicio al Ciudadano.
Dichos contactos se registran en en Sistema de Información Misional en clave de vincular las Solicitudes de Búsqueda a los GITT para que las PB sean incorporadas a las acciones de participación en el marco de los PRB y sus Planes Operativos.
Para el presente mes, la Línea Nacional contactó a 208 PB y los Enlaces Regionales a 211 PB, para un total mensual de 419 PB contactadas y un acumulado a la fecha de 774 PB contactadas.</t>
  </si>
  <si>
    <t>LOGROS:
La Estrategia de contacto permanente aporta a la Estrategia de completitud de información, liderada por la STIH, disminuyendo el universo de SB sin cobertura territorial.
DIFICULTADES:
Desde el nivel regional el número de PB contactadas es inferior a la meta planteada, lo que puede estar relacionado con la curva de aprendizaje; por lo cual se hace necesario reforzar a través de un seguimiento individual y colectivo
Se hace necesario identificar las variables "sin información" toda vez que se espera que desde la Estrategia de Contacto se recabe y se registre esta información. Lo anterior en clave de determinar si es error del sistema en guardar la información o en el registro por parte del equipo de la Estrategia</t>
  </si>
  <si>
    <t>desde la STPED en articulación con la STIH se avanza en la elaboración del visor de la Estrategia con el fin de tener una herramienta de seguimiento permanente y actualizada desde el nivel central, pero también desde el nivel regional y territorial.</t>
  </si>
  <si>
    <t>Este indicador hace referencia a los contactos efectivos que se realizaron desde:
 1. Nivel Central: contacto con la persona buscadora por los diferentes canales de atención con los que cuenta la entidad de acuerdo con los criterios de priorización.
 2. Nivel Regional: cuentan los contactos realizados por los enlaces regionales de contacto permanente con la PB de acuerdo con los criterios de priorización, en acumulado a la fecha de corte mensual.
En la vigencia del mes de abril, se avanzó en la implementación de la Estrategia de contacto permanente y diferenciado a través de la herramienta Línea de atención nacional a buscadoras y buscadores y de los Enlaces Regionales de contacto permanentes. 
Por definición de la Estrategia, se continúa con el abordaje de las Solicitudes de Büsqueda desde los criterios de priorización a saber: i) Abordaje de Estrategia de completitud de información asociada a las SB con PDD que se encuentran en la Línea Base sin sin lugar de hechos de desaparición y ii) PDD de la Línea Base que tienen definida región de desaparición, pero no municipio de desaparición. Así mismo, el contacto con personas a través de los canales de atención de Servicio al Ciudadano.
Dichos contactos se registran en el Sistema de Información Misional en clave de vincular las Solicitudes de Búsqueda a los GITT para que las PB sean incorporadas a las acciones de participación en el marco de los PRB y sus Planes Operativos.
Para el presente mes, la Línea Nacional contactó a 197 PB y los Enlaces Regionales a 248 PB, para un total mensual de 445 PB contactadas y un acumulado a la fecha de 1.219 PB contactadas.</t>
  </si>
  <si>
    <t>LOGROS: La Línea Nacional mantiene un avance satisfactorio hacia el cumplimiento de sus metas. Se destaca la implementación y publicación del Tablero de Control/Visor de la Estrategia, herramienta clave para el monitoreo multinivel (central, regional e individual). Asimismo, se realizaron sesiones de seguimiento técnico con diversos GITR para unificar criterios de cumplimiento. Finalmente, la SGTT socializó con las Coordinaciones Regionales y Territoriales el estado actual de la estrategia, alineando los retos institucionales con la operatividad territorial.
DIFICULTADES: Se identifica un incumplimiento en la meta mensual de los Enlaces Regionales de Contacto Permanente, atribuido a la curva de aprendizaje del equipo. Esto ha incrementado el rezago acumulado desde el inicio de la ejecución contractual, lo que supone un riesgo para el cumplimiento del objetivo global. No obstante, entre las áreas técnicas de participación e investigaciones, se puso en marcha un visor, con el fin de lograr acompañamiento, seguimiento y control permanentemente y adicionalmente, desde participación se realiza acompañamiento técnio a cada enlace de contacto regional con el fin de que fortalezca el registro y reporte individual de información en el SUM, lo que exige una revisión detallada de datos para asegurar la integridad de los reportes.</t>
  </si>
  <si>
    <t>Este indicador hace referencia a los contactos efectivos que se realizaron desde:
 1. Nivel Central: contacto con la persona buscadora por los diferentes canales de atención con los que cuenta la entidad de acuerdo con los criterios de priorización.
 2. Nivel Regional: cuentan los contactos realizados por los enlaces regionales de contacto permanente con la PB de acuerdo con los criterios de priorización, en acumulado a la fecha de corte mensual.
En la vigencia del mes de mayo, se avanzó en la implementación de la Estrategia de contacto permanente y diferenciado a través de la herramienta Línea de atención nacional a buscadoras y buscadores y de los Enlaces Regionales de contacto permanentes. 
Por definición de la Estrategia, se continúa con el abordaje de las Solicitudes de Büsqueda desde los criterios de priorización a saber: i) Abordaje de Estrategia de completitud de información asociada a las SB con PDD que se encuentran en la Línea Base sin sin lugar de hechos de desaparición y ii) PDD de la Línea Base que tienen definida región de desaparición, pero no municipio de desaparición. Así mismo, el contacto con personas a través de los canales de atención de Servicio al Ciudadano.
Dichos contactos se registran en en Sistema de Información Misional en clave de vincular las Solicitudes de Búsqueda a los GITT para que las PB sean incorporadas a las acciones de participación en el marco de los PRB y sus Planes Operativos.
Para el presente mes, la Línea Nacional contactó a 219 PB y los Enlaces Regionales a 300 PB, para un total mensual de 519 PB contactadas y un acumulado a la fecha de 1.738 PB contactadas.</t>
  </si>
  <si>
    <t>LOGROS:  Se destaca un rendimiento positivo y permanente de la Línea Nacional, cumpliendo con las metas planteadas para el mes y en acumulado. Los Enlaces Regionales  de Contacto muestran una mayor adopción de las orientaciones estratégicas, reflejada en un incremento de contactos  respecto a meses anteriores.
DIFICULTADES: A pesar del incremento en la gestión regional, la meta individual por región sigue sin cumplirse. Esto genera un rezago crítico que obligará a replantear la viabilidad de la meta anual o a modificar la estrategia de cumplimiento del total. Frenta a la calidad de la información, persiste un alto volumen de registros "sin información" en la caracterización de los Enfoques Diferenciales y de Género (EDYG) de las PB y PDD. Los Enlaces Regionales deben subsanar este subregistro de manera prioritaria, ya que depurar esta información es el objeto central de la Estrategia.</t>
  </si>
  <si>
    <t>GITR - Grupo Interno de Trabajo Regional
STIH - Subdirección Técnica de Investigación Humanitaria</t>
  </si>
  <si>
    <t>L5-IHAE-002</t>
  </si>
  <si>
    <t xml:space="preserve">Personas contactadas por la Estrategia con las que se adelantaron acciones de participación en el territorio </t>
  </si>
  <si>
    <t>Realizar acciones humanitarias de búsqueda con las personas buscadoras a través de los Enlances de Tejido y Enlances Regionales</t>
  </si>
  <si>
    <t>Número de personas que buscan con acciones de participación realizadas por los Enlaces Regionales</t>
  </si>
  <si>
    <t>Número de personas que buscan con acciones de participación realizadas por los Enlaces de Tejido y Diálogo Social</t>
  </si>
  <si>
    <t>SIM Busquemos 
Reporta: Variables 1 y 2: Subdirección Técnica de Participación y Enfoques Diferenciales</t>
  </si>
  <si>
    <t>En la vigencia del primer mes, se implementó la Estrategia de contacto permanente y diferenciado a través de la herramienta de Canal presencial se logró con la contratación del equipo conformado por 9 profesionales en el rol de Enlaces Regionales de contacto permanente, quienes iniciaron sus acciones a través de la participación en capacitaciones e inducción de los temas asociados con sus obligaciones contractuales. En el marco de reuniones el equipo avanzó con los GITR en la elaboración del plan de trabajo con las coordinaciones regionales. 
En el marco del Canal presencial - Puntos de contacto de atención y orientación presencial, a través de los Enlaces Regionales de Contacto Permanente y los Enlaces de Tejido y y Diálogo Social se contactaron a un total de 119 PB las cuales participaron en 134 acciones de participación durante el mes de febrero de 2026. 
Es importante señalar que la Subdirección Técnica de Investigación realizó una depuración de la cantidad de personas reportadas en este mes para no tener duplicados, teniendo en cuenta que con 1 misma persona buscadora la UBPD puede llegar a realizar 1 o varias acciones de participación en el mismo periodo.</t>
  </si>
  <si>
    <t xml:space="preserve">LOGROS:
la UBPD cuenta con un equipo calificado en los GITR para avanzar en las acciones que garanticen la participación con las PB.
DIFICULTADES:
sin novedades
Logros:
El equipo del canal presencial representado por los Enlaces Regionales de contacto permanente y los Enlaces de Tejido y Diálogo Social cuentan con las herramientas y orientaciones técnicas para opeativizar las acciones planteadas en la Estrategia, para garantizar la participación de las PB directamente en los territorios en el marco de los PRB. 
Dificultades:
- Actualmente, el equipo se encuentra en una fase de estandarización de procedimientos operativos. Se prevé que, una vez superada la etapa de acoplamiento, el ritmo de contacto se estabilice y alcance los niveles esperados.
- Así mismo, fueron entregados 5 de 9 celulares celulares el 18 de febero en las ciudades de Barraquilla, Medellín, Pereira, Villavicencio y Bucaramanga. </t>
  </si>
  <si>
    <t>Por las dinámicas del registro, los datos peden sufrir modificaciones mes a mes, de modo que, ante cualquier consulta específica se debe acudir directamente a Busquemos dado que el avance cuantitativo que se relaciona, se da teniendo en cuenta la fecha de corte el que se reporta el indicador</t>
  </si>
  <si>
    <t xml:space="preserve">En el marco del Canal presencial - Puntos de contacto de atención y orientación presencial, a través de los Enlaces Regionales de Contacto Permanente y los Enlaces de Tejido y Diálogo Social se contactaron a un total de 144 PB las cuales participaron en 223 acciones de participación durante el mes de marzo de 2026. </t>
  </si>
  <si>
    <t>LOGROS:
Se sostuvieron espacios de seguimiento y fortalecimiento de capacidades individuales en el abordaje de las PB y del registro con el fin de calificar su accionar y resolver las inquietudes que tenía el equipo. Esto resultó en el incremento de los contactos, sin perjuicio de que no era el valor esperado respecto de la meta planteada.
DIFICULTADES:
Se avanza con la elaboración del visor de la Estrategia para hacer seguimiento oportuno a las acciones realizadas por los enlaces, de modo que como a la fecha no se cuenta con éste, el valor reportado puede presentar inconsistencias con la realidad.</t>
  </si>
  <si>
    <t xml:space="preserve">La variable 1 y 2 pueden tener PB repetidas ya que se puede realizar múltiples acciones con una misma PB y son realizadas por enlaces diferentes, en este sentido si se requiere dar una información es necesario confirmar el dato con la Subdirección de Participación y Enfoques Diferenciales
</t>
  </si>
  <si>
    <t>En el marco del Canal presencial - Puntos de contacto de atención y orientación presencial, a través de los Enlaces Regionales de Contacto Permanente y los Enlaces de Tejido y Diálogo Social se contactaron a un total de 233 PB las cuales participaron en 225 acciones de participación durante el mes de abril de 2026.</t>
  </si>
  <si>
    <t>LOGROS: PAl cierre del mes, se socializó con los Enlaces de Contacto Permanente el Tablero de Control / Visor de la Estrategia. Esta herramienta permite un seguimiento detallado, tanto individual como regional, por parte del Nivel Central y las Coordinaciones. Asimismo, se llevaron a cabo sesiones de seguimiento personalizado para asegurar que el reporte mensual refleje fielmente todas las acciones ejecutadas por el equipo.
DIFICULTADES: No se alcanzó la meta establecida para los Enlaces Regionales. En consecuencia, se requiere un análisis individualizado para identificar los factores críticos que incidieron en este resultado y ajustar las proyecciones o estrategias.</t>
  </si>
  <si>
    <t>A partir del mes de mayo, se establece una meta de 40 PB contactadas para los Enlaces de Tejido y Diálogo Social. Por su parte, los Enlaces Regionales de Contacto Permanente mantendrán el objetivo de 70 PB contactadas (y/o con acciones de participación). Cabe resaltar que estas metas son independientes del cumplimiento del rezago acumulado de meses anteriores, el cual debe ser gestionado simultáneamente.
La variable 1 y 2 pueden tener PB repetidas ya que se puede realizar múltiples acciones con una misma PB y son realizadas por enlaces diferentes, en este sentido si se requiere dar una información es necesario confirmar el dato con la Subdirección de Participación y Enfoques Diferenciales</t>
  </si>
  <si>
    <t>En el marco del Canal presencial - Puntos de contacto de atención y orientación presencial,la gestión articulada de los Enlaces Regionales de Contacto Permanente y los Enlaces de Tejido y Diálogo Social permitió contactar a 556 Personas Buscadoras (PB), quienes se involucraron en 512 acciones de participación durante el mes de mayo. El acumulado de PB con acciones de particpación corresponde a 1072.</t>
  </si>
  <si>
    <t>LOGROS: A partir de este mes, 32 de los 35 Enlaces de Tejido y Diálogo Social se integraron formalmente a la estrategia con una meta específica (40 PB contactadas por enlace). Esta incorporación masiva fortaleció la perspectiva regional y garantizó una mayor participación de las PB en los territorios. Gracias a la entrada de estos nuevos enlaces, el resultado global del indicador mostró un incremento significativo en comparación con los meses anteriores.
De otra parte, el uso del Tablero de Control se consolidó como una herramienta clave, permitiendo a los enlaces y a las coordinaciones regionales/territoriales realizar un seguimiento permanente y en tiempo real de las metas.
DIFICULTADES: A pesar del esfuerzo operativo y del aumento en las cifras respecto a meses anteriores, la meta establecida para el periodo no se cumplió. La suma de los nuevos enlaces aún no logra el rendimiento esperado por indicador. Por lo anterior se requiere identificar las causas que impidieron el cumplimiento, con el fin de plantear las acciones de mejora para nivelar el rezago.
A la fecha 3 GITT por diferentes razones no cuentan con un perfil designado para cumplir el rol de ETYDS.</t>
  </si>
  <si>
    <t xml:space="preserve">
La variable 1 y 2 pueden tener PB repetidas ya que se puede realizar múltiples acciones con una misma PB y son realizadas por enlaces diferentes, en este sentido si se requiere dar una información es necesario confirmar el dato con la Subdirección de Participación y Enfoques Diferenciales</t>
  </si>
  <si>
    <t>L5-IHAE-003</t>
  </si>
  <si>
    <t>Solicitudes de búsqueda actualizadas</t>
  </si>
  <si>
    <t>Realizar seguimiento a las acciones de actualización de información de las solicitudes de búsqueda como insumo para la la investigación humanitaria y extrajudicial en el marco de los Planes Regionales de Búsqueda.</t>
  </si>
  <si>
    <t>Número de personas dadas por desaparecidas (PDD) con información actualizada en el SIM BUSQUEMOS</t>
  </si>
  <si>
    <t>Número de personas que buscan (PB) con información actualizada en el SIM BUSQUEMOS</t>
  </si>
  <si>
    <t xml:space="preserve">Número        </t>
  </si>
  <si>
    <t>Este indicador hace referencia a la información actualizada en el SIM BUSQUEMOS por el equipo de nivel central, a partir de los contactos que se realizan con las Personas Buscadoras.
A través de esta Estrategia de Contacto se nutre la información en BUSQUEMOS frente a los enfoques diferenciales, étnicos y de género, de las PB y de las PDD además de información asociada con los hechos de desaparición y búsqueda, para aportar a la IHE en el marco de los PRB.
Se avanzó con las capacitaciones e inducción al equipo frente los lineamientos de participación para la debida implementación de garantizar la participación de las personas que buscan.
La Línea Nacional realizó actualización de información y caracterización de 38 PDD y de 62 PB.
Este indicador hace referencia a la información actualizada en el SIM BUSQUEMOS por el equipo de nivel central, a partir de los contactos que se realizan con las Personas Buscadoras.
A través de esta Estrategia de Contacto se nutre la información en BUSQUEMOS frente a los enfoques diferenciales, étnicos y de género, de las PB y de las PDD además de información asociada con los hechos de desaparición y búsqueda, para aportar a la IHE en el marco de los PRB.
Para el mes de febrero de 2026 se logró la actuailzación de  149 PDD y 240 PB en el SIM BUSQUEMOS para un acumulado de 187 PDD y 302 PB.</t>
  </si>
  <si>
    <t>LOGROS:
El equipo de Enlaces fortalece y refuerza los conocimientos frente a sus obligaciones contractuales para implementar de una forma efectiva.
DIFICULTADES:
sin dificultades
Logros:
La Estrategia de contacto aporta desde la garantía de la participación a la IHE, a partir de la revisión, actualización y registro de las SB abordadas.
Dificultades:
n/a</t>
  </si>
  <si>
    <t>Por las dinámicas del registro, los datos peden sufrir modificaciones mes a mes, de modo que, ante cualquier consulta específica se debe acudir directamente a Busquemos dado que el avance cuantitativo que se relaciona, se da teniendo en cuenta la fecha de corte el que se reporta el indicador.</t>
  </si>
  <si>
    <t>Este indicador hace referencia a la información actualizada en el SIM BUSQUEMOS por el equipo de nivel central y los enlaces regionales, a partir de los contactos que se realizan con las Personas Buscadoras.
A través de la Estrategia de Contacto se nutre la información en BUSQUEMOS frente a los enfoques diferenciales, étnicos y de género, de las PB y de las PDD, además de información asociada con los hechos de desaparición y búsqueda, para aportar a la IHE en el marco de los PRB.
Se realizó la actualización de información y caracterización de 246 PDD y de 385 PB para un total de 631 personas en marzo.</t>
  </si>
  <si>
    <t>LOGROS:
Se avanzó con la implementación de esta acción desde la Línea Nacional y Canal presencial desde los Enlaces Regionales de Contacto Permanentes.
DIFICULTADES:
Se hace necesario identificar las variables de los EDYG "sin información" toda vez que se espera que desde la Estrategia de Contacto se recabe y se registre esta información. Lo anterior en clave de determinar si es error del sistema en guardar la información o en el registro por parte del equipo de la Estrategia.
Así mismo, el SIM Busquemos presentó inconvenientes con algunos enlaces, borrando la información que se registró oportunamente. Esta circunstancia se elevó a mesa de servicio pero afecta el proceso de registro.</t>
  </si>
  <si>
    <t>No registra</t>
  </si>
  <si>
    <t>Este indicador hace referencia a la información actualizada en el SIM BUSQUEMOS por el equipo de nivel central y los enlaces regionales, a partir de los contactos que se realizan con las Personas Buscadoras.
A través de la Estrategia de Contacto se nutre la información en BUSQUEMOS frente a los enfoques diferenciales, étnicos y de género, de las PB y de las PDD, además de información asociada con los hechos de desaparición y búsqueda, para aportar a la IHE en el marco de los PRB.
Se realizó la actualización de información y caracterización de 259 PDD y de 342 PB para un total de 601 personas en abril.</t>
  </si>
  <si>
    <t>LOGROS: El equipo de la Estrategia ha optimizado la completitud de la información de las PDD y PB. Este avance proporciona a los PRB insumos críticos para fortalecer los procesos de investigación y asegurar el ejercicio efectivo de la participación.
DIFICULTADES: Aunque se dispone de SB con datos actualizados, se han detectado vacíos de información en aquellas abordadas por el equipo en relación con los EDYG. En consecuencia, es necesario implementar un seguimiento y refuerzo técnico al equipo para garantizar un abordaje integral durante sus contactos en territorio.</t>
  </si>
  <si>
    <t>Este indicador hace referencia a la información actualizada en el SIM BUSQUEMOS por el equipo de nivel central y los enlaces regionales, a partir de los contactos que se realizan con las Personas Buscadoras.
A través de la Estrategia de Contacto se nutre la información en BUSQUEMOS frente a los enfoques diferenciales, étnicos y de género, de las PB y de las PDD, además de información asociada con los hechos de desaparición y búsqueda, para aportar a la IHE en el marco de los PRB.
Se realizó la actualización de información y caracterización de 243 PDD y de 322 PB para un total de 565 personas en mayo.</t>
  </si>
  <si>
    <t>LOGROS: La Estrategia ha optimizado la completitud de la información de las PDD y PB aportando a los GITT a cargo de los PRB contar con elementos para fortalecer la investigación y garantizar la participación de las PB.
DIFICULTADES: El tablero de control refleja un alto volumen de registros "sin información" en la caracterización de los Enfoques Diferenciales y de Género (EDYG) de las PB y PDD, y en un mayor porcentaje lo registrado por el canal presencial. Por lo anterior los Enlaces Regionales deben subsanar este subregistro de manera prioritaria, ya que depurar esta información es el objeto central de la Estrategia.</t>
  </si>
  <si>
    <t>L5-IHAE-004</t>
  </si>
  <si>
    <t>Efectividad contacto Persona Presuntamente Hallada con Vida - PPHV</t>
  </si>
  <si>
    <t>Realizar el reporte de los contactos, adelantados por la Subdirección Técnica de Participación y Enfoques Diferenciales, de Personas Presuntamente Halladas con Vida, que apoya las acciones de búsqueda bajo presunción de vida lideras por la Subdirección Técnica de Investigación Humanitaria.</t>
  </si>
  <si>
    <t>V1/V2</t>
  </si>
  <si>
    <t>Número de personas contactadas efectivamente por la Estrategia de Contacto Nivel Nacional.</t>
  </si>
  <si>
    <t>Número de Personas Presuntamente Halladas con Vida remitidas por la STIH</t>
  </si>
  <si>
    <t>Matriz de Seguimiento de PPHV de la STIH.
Reporta: Variables 1 y 2: Subdirección Técnica de Participación y Enfoques Diferenciales</t>
  </si>
  <si>
    <t>Este indicador hace referencia a los contactos efectivos que se realizaron con las personas presuntamente halladas con vida PPHV, a partir de los insumos brindados por la Subdirección de Gestión de Información, respecto PPHV que se identifican en los cruces de información que se realizan con bases de datos de diferentes entidades con información de PDD que se encuentran en el Universo de PDD.
Es así que para el presente mes, a través de la herramienta 2 de la Estrategia de contacto permanente y diferenciado, esto es, del canal presencial, los Enlaces de Tejido y Diálogo social se intentó contactar a 16 personas, se logró el contacto efectivo con 4 PPHV.
Esto sin perjuicio de las gestiones prelimimares de revisión e intento de contacto con las PPHV que se encuentran en las matrices territoriales, sin lograr el contacto, por difertentes factores como i. no contesta, ii, número equivocado.
Febrero: Este indicador mide los contactos efectivos con Personas Presuntamente Halladas con Vida (PPHV), partiendo de los insumos de la Subdirección Técnica de Investigación a partir de los cruces de bases de datos de entidades con información del Universo de PDD.
Durante el mes de febrero, los Enlaces de Tejido y Diálogo Social intentaron contactar a 53 personas, logrando efectividad en 17 casos. Lo anterior, sin perjuicio de las labores de revisión e intentos fallidos con las PPHV, donde factores como números equivocados o llamadas no contestadas impidieron la comunicación.</t>
  </si>
  <si>
    <t>LOGROS:
La Estrategia de contacto con PPHV apoya a los Planes Regionales de Búsqueda a través de la depuración del Universo de PDD, liderado por la la Subdirección Técnica de Investigación Humanitaria.
 DIFICULTADES:
no aplica
LOGROS:
El equipo de Enlaces participó en jornada de fortalecimiento de capacidades sobre el abordaje de la Estrategia de contacto con PPHV liderado por la STIH
DIFICULTADES:
sin dificultades</t>
  </si>
  <si>
    <t>Este indicador mide los contactos efectivos con Personas Presuntamente Halladas con Vida (PPHV), partiendo de los insumos de la Subdirección Técnica de Investigación a partir de los cruces de bases de datos de entidades con información del Universo de PDD.
Durante el mes de marzo, los Enlaces de Tejido y Diálogo Social intentaron contactar a 44 personas, logrando efectividad en 9 casos. Lo anterior, sin perjuicio de las labores de revisión e intentos fallidos con las PPHV, donde factores como números equivocados o llamadas no contestadas impidieron la comunicación.</t>
  </si>
  <si>
    <t>LOGROS:
Se avanza en el abordaje de la Estrategia de contacto con PPHV en el liderazgo de los ETYDS desde los GITT, apoyando a los investigadores integrales en sus investigaciones
 DIFICULTADES:
n/a</t>
  </si>
  <si>
    <t>Este indicador mide los contactos efectivos con Personas Presuntamente Halladas con Vida (PPHV), partiendo de los insumos de la Subdirección Técnica de Investigación a partir de los cruces de bases de datos de entidades con información del Universo de PDD.
Durante el mes de abril, los Enlaces de Tejido y Diálogo Social intentaron contactar a 113 personas, logrando efectividad en 24 casos. Lo anterior, sin perjuicio de las labores de revisión e intentos fallidos con las PPHV, donde factores como números equivocados o llamadas no contestadas impidieron la comunicación.</t>
  </si>
  <si>
    <t>LOGROS: Se continúa avanzando en el contacto con PPHV como apoyo a la estrategia de depuración del Universo de PDD.
 DIFICULTADES: Los Enlaces de Tejido y Diálogo Social señalan una dificultad operativa: dado que el abordaje de PPHV abarca al Universo y no se limita a RSB, no siempre existen carpetas creadas en el repositorio de DDHH para todos los casos. A pesar de solicitar su apertura, la gestión es lenta o inexistente, lo que impide el registro oportuno de la información.</t>
  </si>
  <si>
    <t>Este indicador mide los contactos efectivos con Personas Presuntamente Halladas con Vida (PPHV), partiendo de los insumos de la Subdirección Técnica de Investigación a partir de los cruces de bases de datos de entidades con información del Universo de PDD.
Durante el mes de abril, los Enlaces de Tejido y Diálogo Social intentaron contactar a 133 personas, logrando efectividad en 32 casos. Lo anterior, sin perjuicio de las labores de revisión e intentos fallidos con las PPHV, donde factores como números equivocados o llamadas no contestadas impidieron la comunicación</t>
  </si>
  <si>
    <t>L5-IHAE-005</t>
  </si>
  <si>
    <t>Seguimiento a la implementación de la Estrategia Itinerante de Contacto - "La Ruta Buscadora"</t>
  </si>
  <si>
    <t>Realizar seguimiento a las acciones de contacto a través de la estrategia itinerante en los municipios determinados.</t>
  </si>
  <si>
    <t>La Unidad Móvil - La Ruta Buscadora, es una estrategia itinerante que recorre de diferentes municipios del país para realizar la orientación de personas buscadoras y comunidad en general, facilitar actividades de pedagogía y participación, captar información de Aportantes, realizar tomas de muestras genéticas y para recoger solicitudes e información relevante para la búsqueda humanitaria y extrajudicial.
Esta Unidad Móvil cuenta con un equipo capacitado para atender y orientar a las personas puscadoras, a las organizaciones civiles, a los aportantes de información y a la ciudadanía en general, en acciones coordinadas materializando el enfoque territorial y garantizar la participación de diferentes poblaciones.</t>
  </si>
  <si>
    <t xml:space="preserve">∑= V1t… V5t </t>
  </si>
  <si>
    <t>Número de personas buscadoras abordadas en el municipio</t>
  </si>
  <si>
    <t>Número de personas dadas por desaparecidas asociadas a una solicitud de búsqueda</t>
  </si>
  <si>
    <t>Número de tomas de muestras genéticas realizadas en el municipio</t>
  </si>
  <si>
    <t>Número de personas que recibieron pedagogía de la UBPD en el municipio, en la Unidad Móvil</t>
  </si>
  <si>
    <t>Número de personas que recibieron pedagogía de la UBPD en el municipio, en acciones del Profesional de Pedagogía</t>
  </si>
  <si>
    <t>Número de personas que recibieron asesoría frente a competencia de la UBPD en el municipio</t>
  </si>
  <si>
    <t>SIM Busquemos, SIRDEC y Matriz de Control Diario (por cada Lote)
Reporta: Variables 1 a la 7 la Subdirección Técnica de Participación y Enfoques Diferenciales</t>
  </si>
  <si>
    <t>Durante el mes de enero se elaboraron los documentos de Ficha Técnica y el Anexo N°1 Especificaciones Técnicas, para las Unidades Móviles Terrestres de la vigencia 2026, las cuales contienen los requerimientos que deben cumplir los contratistas para ejecutar la estrategia itinerante de "La Ruta Buscadora", por medio de 7 Lotes que corresponden a cada una de las diferentes regionales. Así mismo, se resalta que para esta vigencia se cambiará el diseño del vehículo, ya que será una VAN y la atención será unicamente en la carpa externa (en los documentos anexos se encuentran mayor informació).
Adicionalmente, se estableció el Formato de Método de cotización para salir a Estudio de Mercado en el mes de febrero.
Febrero:
Desde la Subdirección Técnica de Participación y Enfoques Diferenciales, se radicó la Ficha Técnica y su Anexo de Especificaciones Técnicas a la Secretaría General, para el respectivo Estudio de Mercado. Así mismo, se apoyó con el contacto a las empresas que posiblemente podrían cotizar para el proceso, sin embargo durante el mes de febrero no se recibieron cotizaciones que permitieran una línea base de presupuesto para 2026.
De otra parte, durante este mes continuamos con el "ABC de La Ruta Buscadora", generando herramientas de pedagogía para capacitar al equipo de trabajo de la Unidad Móvil, como folleto con paso a paso de tomas de muestras, guía de atención a personas buscadoras, niños, niñas y adolescentes, aportantes de información, y comunidad en general. Material que será de vital importancia para los siguientes meses al articular con los Coordinadores Regionales, quienes serán los supervisores de cada Lote.</t>
  </si>
  <si>
    <t>LOGROS:
- Presentación de los documentos a la Secretaría General para la revisión y aprobación final para lograr radicar por medio de SIDOBU y proceder con el Estudio de Mercado a inicios de Febrero.
DIFICULTADES:
- en este primer mes se logró avanzar en la construcción de los documentos, sin embargo se presentaron varios ajustes según la línea estrategica de la Dirección General y los directivos.
LOGROS: 
- Radicación de Ficha Técnica y Anexo de Especificaciones Técnicas de La Ruta Buscadora Terrestre a Secretaría General.
- Creación de ABC de La Ruta Buscadora (ppt, folleto plegable, ficha).
DIFICULTADES: Tiempos en los procesos pre contractuales como: revisión y aprobación de documentos, recepción de cotizaciones en el marco del estudio de mercado.</t>
  </si>
  <si>
    <t>Una vez se tengan los resultados del Estudio de Mercado, se procederá a realizar el análisis presupuestal y contractual, para determinar si nos mantenemos con 7 Lotes, es decir 7 unidades móviles por el territorio colombiano, y en casi 6 meses de ejecución del contrato.
Febrero: Esta ficha se empezará a reportar en pleno, una vez inicie la Estrategia (tentativamente mayo 2026), el reporte lo realizará la Subdirección de Participación como lideres de nivel central y apoyo de la Coordinación Regional como supervisores de cada una de las Rutas Buscadoras por Lote.</t>
  </si>
  <si>
    <t>Durante el mes de marzo se realizaron las siguientes acciones para avanzar en el proceso contractual de esta estrategia itinerante:
1. El 3 y 9 de marzo se realizaron espacios de Socialización con los posibles proveedores para explicar la estrategia y lograr que presentaran sus cotizaciones frente al proceso. Esto nos permitió recibir 5 cotizaciones en el marco del Estudio de Mercado, liderado por el Grupo Interno de Trabajo de Gestión Contractual, se anexa el documento Análisis del Sector, entregado el 19 de marzo.
2. El 18 de marzo se sostuvo el espacio de Comité de Contratación, en el que fue aprobado por unanimidad el proceso selección abreviada mediante subasta inversa para servicios ruta buscadora terrestre. El presupuesto estimado para este proceso es de $2,450,933,382, buscando 7 unidades móviles divididas en 7 lotes, una para cada Regional de la UBPD. Se anexa presentación.
3. El 20 de marzo se realizó el envío final del Estudio Previo y se realizó la publicación del proyecto de pliego de condiciones, para la cual no se han recibido observaciones por parte de los posibles contratistas.
4. Durante este mes de marzo avanzamos junto con la OACP en la creación de los diseños que tendrá la Unidad Móvil para esta vigencia, teniendo en cuenta el estilo y el enfoque que quiere darle impulso la Entidad.</t>
  </si>
  <si>
    <t>LOGROS: Este mes se presentaron logros significativos para el proceso precontractual; lo más relevante la aprobación en el Comité de Contratación, pues nos respalda el proceso que tenemos estipulado para esta vigencia. Así mismo, la recepción de las 5 cotizaciones en el estudio de mercado nos permite visibilizar el posible presupuesto que destinará la entidad para avanzar con la ejecución de 7 unidades móviles por cada una de las Regionales de la Entidad.
DIFICULTADES: No se presentaron dificultades relevantes para este mes, todo avanzó conforme al cronograma establecido.</t>
  </si>
  <si>
    <t>El Reporte Cuantitativo de esta ficha se empezará a reportar una vez inicien los recorridos de cada Unidad Móvil (fecha tentativa 01 julio 2026).</t>
  </si>
  <si>
    <t>Durante el mes de abril se avanzó en el proceso contractual de La Ruta Buscadora Terrestre; se dio respuesta a las observaciones recibidas al prepliego y se realizó la evaluación técnica de 9 propuestas que se presentaron (siendo habilitados 8 proponentes). Adicionalmente, el 13 de abril en el espacio "Encontremo Nos" convocado por la Subdirección Técnica y Territorial, se socializó con los Coordinadores Regionales la estrategia reforzando los roles de cada uno, especialmente en que serán ellos y ellas los Supervisores de cada Contrato.
Frente a La Ruta Buscadora Fluvial, el 27 de abril se presentó ante el Comité Directivo la propuesta de la estrategia para esta vigencia, recibiendo ajustes y sugerencias desde las diferentes áreas. Se está trabajando articuladamente con los GITT para estructurar los Ruteros a realizar, se definirá entre el Río Arauca, Río Atrato y Río Cauca (norte o sur).</t>
  </si>
  <si>
    <t>LOGROS: 
- Avances en el concepto de diseño de la Unidad Móvil con la Oficina de Comunicaciones.
- Avance en la construcción de un Tablero de Control en Power BI para la consulta en tiempo real de las cifras de La Ruta Buscadora.
- Aplicativo KOBO para registro de solicitudes de Búsqueda y metabase de consulta para tomas de muestras realizadas por Medicina Legal.
- Aprobación inicial del Comité Directivo de la Unidad Móvil Fluvial para esta vigencia.
DIFICULTADES: 
- Tiempo de otras áreas para avanzar con las tareas ya que están también apoyando a otras estrategias de la Subdirección de Participación o de la Entidad.
- Definición de Ruteros (tanto terrestre como fluvial) por tema de seguridad en las vías.</t>
  </si>
  <si>
    <t>Durante el mes de mayo se realizó el proceso de Subasta Inversa con apoyo del Grupo de Gestión Contractual, en la que se determinaron las 4 empresas que ejecutarán los 7 Lotes de cada Regional. Se anexan las Actas de recomendación de adjudicación por el Comité Evaluador, con el fin de poder recomendar al ordenador del gasto la adjudicación de los 7 Lotes frente al proceso de La Ruta Buscadora. A corte de 31 de mayo, las abogadas que acompañan el proceso reportaron que están en proceso de firma de contrato en SECOP, generación y envío de pólizas por parte de cada Contratista, para lograr definir el día de lanzamiento e inicio de ruteros y así arrancar de fondo con la ejecución de la estrategia.
De otra parte, durante mayo se realizaron diferentes encuentros virtuales con las Coordinaciones Regionales para explicar en detalle cada uno de los aspectos importantes a coordinar para la Estrategia, como lo son: "ABC Ruta Buscadora terrestre 2026", "Lineamientos capacitaciones equipo en las Regionales", "Revisión de Ruteros Terrestres con la Subdirección", "Lineamientos tomas de muestras", "Lineamientos para radicación de facturas"
Respecto a la Ruta Fluvial, durante este mes de mayo desarrollamos diferentes reuniones con los GITT y con el grupo de Prevención y Protección SGH para definir los ruteros por los que pasará la Unidad Móvil Fluvial, en el marco de puertos disponibles, seguridad para tránsito en el agua y demás aspectos importantes para la ejecución de la estrategia. En ese sentido, se planea ejecutar 3 ruteros: Arauca, Atrato y Pacífico Sur (se descartó Cauca Norte y Sur, por temas de seguridad). 
Así mismo, se envió la segunda versión de la Ficha Técnica y el Anexo con ajustes solicitados y sugeridos con los Directivos, para posterior revisión y ajustes de las abogadas para durante junio iniciar con el Estudio de Mercado.</t>
  </si>
  <si>
    <t>LOGROS: 
- Ejecución del proceso de Subasta Inversa para la Unidad Móvil Terrestre.
- Definición Ruteros Unidad Móvil Fluvial.
DIFICULTADES: 
- Por el precio que resultó de la Subasta Inversa en cada Lote, el Grupo de Gestión Contractual tuvo que requerir la justificación de precios artificialmente bajos, para poder continuar con el proceso. Lo que generó retrasos en las fechas estipuladas del proceso contractual.</t>
  </si>
  <si>
    <t>Programa Red de Apoyo Operativo para la búsqueda implementado - Fase II</t>
  </si>
  <si>
    <t>L5-IAHE-006</t>
  </si>
  <si>
    <t>Porcentaje vinculación efectiva Red de Apoyo operativo</t>
  </si>
  <si>
    <t xml:space="preserve">Determinar el porcentaje de vinculación efectiva a la Red de Apoyo Operativa </t>
  </si>
  <si>
    <t>((∑= 𝑉1𝑡)/𝑉2𝑖)*100</t>
  </si>
  <si>
    <t>Número de personas inscritas que finalizaron fase de Jornada de Fortalecimiento e intercambio de saberes, durante el periodo</t>
  </si>
  <si>
    <t>Número de personas inscritas para realizar cursos de fortalecimiento e intercambio de saberes, durante el periodo</t>
  </si>
  <si>
    <t>L5-IAHE-007</t>
  </si>
  <si>
    <t>Cobertura entrenamiento Red de Apoyo Operativo</t>
  </si>
  <si>
    <t>Determinar el número de personas naturales y vinculadas a organizaciones que surtieron la fase de entrenamiento (alineación de saberes) en acciones de búsqueda humanitaria de la Red de Apoyo Operativa a la busqueda</t>
  </si>
  <si>
    <t>∑=V1t…V2t</t>
  </si>
  <si>
    <t>No. de personas naturales que surtieron la fase de entrenamiento en acciones de búsqueda humanitaria</t>
  </si>
  <si>
    <t>No. de personas vinculadas a organizaciones que surtieron la fase de entrenamiento en acciones de búsqueda humanitaria</t>
  </si>
  <si>
    <t>L5-IHAE-008</t>
  </si>
  <si>
    <t>Seguimiento del Programa Red de Apoyo Operativo para la Búsqueda</t>
  </si>
  <si>
    <t xml:space="preserve">Realizar acciones de incidencia entre las personas buscadoras y organizaciones para ampliar la cobertura de la fase de entrenamiento y de implementación de propuestas de búsqueda. </t>
  </si>
  <si>
    <t>El programa Red de Apoyo Operativo para la Búsqueda es una propuesta de colaboración y de solidaridad conformada por personas, organizaciones, colectivos, movimientos, plataformas, pueblos y sujetos de especial protección constitucional, comprometidas con la búsqueda humanitaria y extrajudicial de las personas dadas por desaparecidas - PDD. 
El propósito fundamental es consolidar los procesos de búsqueda a través del intercambio de saberes y conocimientos que permitan fortalecer las capacidades y habilidades de personas, organizaciones, colectivos, movimientos, plataformas, pueblos, comunidades étnicas y demás sujetos de especial protección constitucional con el fin de que puedan implementar acciones que aporten a la búsqueda de las PDD. 
La Red de Apoyo se fundamenta en el reconocimiento mutuo, la solidaridad y la coordinación, con el fin de generar un impacto significativo en la labor de búsqueda y contribuir al esclarecimiento de la verdad de los hechos de desaparición.</t>
  </si>
  <si>
    <t>Número de socializaciones presenciales con Personas y Organizaciones realizadas por los Enlances de Tejido y Díalogo Social sobre la estrategia de Red de Apoyo, por Regional.</t>
  </si>
  <si>
    <t>Numero de Personas y Organizaciones contactadas por los Enlances de Contacto Regional para el impulso la estrategia de Red de Apoyo, por Regional</t>
  </si>
  <si>
    <t>Numero de Personas y Organizaciones contactadas  por el Nivel Nacional para el impulso la estrategia de Red de Apoyo</t>
  </si>
  <si>
    <t>Número de Personas y Organizaciones que finalizaron la fase de entrenamiento, por Regional</t>
  </si>
  <si>
    <t>Número de propuestas de Personas y Organizaciones presentadas a través del banco necesidades (página web)</t>
  </si>
  <si>
    <t>Número de propuestas de Personas y Organizaciones financiadas e implementadas, por Regional</t>
  </si>
  <si>
    <t>Moodle, Página Web
Reporta: Variables 1 y 2: Territorio, con Enlances de Tejido y Díalogo Social, Enlances de Contacto Regional 
                Variables 3, 4, 5 y 6: Subdirección de Participación</t>
  </si>
  <si>
    <t>Durante el mes de enero se adelantó el proceso contractual de las propuestas de búsqueda de personas naturales y jurídicas, previamente seleccionadas y ratificadas en el 2025. En este marco, se identificaron los siguientes datos:
- 20 contratistas fueron contratados como personas naturales y 11 como personas juridícas para un total de 31 propuestas de búsqueda.
En relación con la identidad de género, 18 personas se identifican como mujeres, 12 como hombres y 1 prefiere no decirlo.
En cuanto a la orientación sexual, 25 personas se reconocen como heterosexuales, 2 como bisexuales, 2 como gays y 2 prefirieron no informar su orientación sexual.
Respecto al autorreconocimiento étnico, 3 personas se identifican como indígenas; 4 como afrocolombianos; 2 como afrodescendientes; 1 como negro afrocolombiano; 2 como negro afrodescendiente afrocolombiano; y 19 manifestaron no pertenecer a ningún grupo étnico.
Febrero:
Durante el mes de febrero se adelantaron acciones orientadas a la preparación de la convocatoria 2026-2. Estas actividades incluyeron la elaboración y organización del contenido pedagógico para la publicación de los cursos de formación en la página web, así como la elaboración de los términos de referencia correspondientes al banco de necesidades. De manera alterna, se sostuvo comunicación con la Oficina Asesora de Comunicaciones y Pedagogía y con el Grupo Interno de Trabajo de Gestión Técnologíca, con el fin de coordinar los aspectos relacionados con el diseño de la página web y la estrategia de difusión de la convocatoria en las diferentes plataformas institucionales. Del mismo modo, desde el equipo Red de Apoyo se ha venido impulsando la difusión de la nueva convocatoria a través de los distintos canales de comunicación. En ese sentido, se tiene prevista una agenda de orientación dirigida a los interesados en el proceso de postulación a la segunda convocatoria del presente año una vez este públicada la información.
Por otra parte, actualmente brinda acompañamiento técnico a las 31 propuestas que se encuentran en fase de implementación de sus propuestas de búsqueda.
Finalmente en articulación con la Oficina Asesora de Planeación se adelantan los procesos administrativos correspondientes a las propuestas seleccionadas mediante la convocatoria ofertada en articulación con la Organización Internacional para las Migraciones (OIM), la Embajada de Suecia en Colombia y el Fondo Multidonante de las Naciones Unidas para la Paz en Colombia.</t>
  </si>
  <si>
    <t>LOGROS:
- Las organizaciones seleccionadas durante el año 2025 iniciarán la ejecución de sus procesos.
- Varias de las personas que implementaron sus propuestas de búsqueda en 2025 fueron ratificadas por los GITT, por lo cual continuarán con la implementación durante el primer semestre de 2026..
DIFICULTADES:
- Dadas las modificaciones financieras en los productos establecidos en la estrategia Red de Apoyo, algunas personas decidieron desistir de su vinculación contractual.
Febrero
LOGROS:
- 31 propuestas de búsqueda se encuentran actualmente en proceso de implementación.
- El apoyo y articulación con las diferentes subdirecciones, para llevar a cabo los espacios de refuerzo dirigidos a los contratistas que iniciaron ejecución.
- Se evidenció el compromiso de las distintas subdirecciones, oficinas, GITR y GITT para respaldar el proceso de implementación de las propuestas de búsqueda, así como para apoyar la recolección de información de cara a la segunda convocatoria.
DIFICULTADES:
- Durante la instalación de las herramientas para el registro de información (KOBO), los contratistas presentaron inconvenientes para la descarga y configuración de la aplicación, debido a la complejidad del proceso. Esta situación generó retrasos en sus cronogramas de trabajo. Adicionalmente, la aplicación KOBO no se encuentra disponible para algunos dispositivos móviles, lo que ha ocasionado inconformidad entre los contratistas.
- La radicación de cuentas de cobro para personas jurídicas presentó dificultades, dado que algunos supervisores no contaban con el soporte de facturación requerido para gestionar el trámite en la plataforma Gestionemos.</t>
  </si>
  <si>
    <t>La ejecución de los 31 contratos de la estrátegia Red de Apoyo esta prevista máximo hasta el mes de julio de 2026.
Febrero:
Se proyecta que la convocatoria 2026-2 dé inicio a las acciones correspondientes en el mes de abril. Asimismo, los treinta y un (31) contratos actualmente en ejecución cuentan con un plazo máximo de cinco (5) meses para su desarrollo y cumplimiento.
Por otro lado, se llevaron a cabo reuniones con el GITT Antioquia con el propósito de adelantar la modificación contractual del contrato 461-2026-UBPD. Es importante precisar que dicha modificación corresponde únicamente a ajustes en los productos establecidos y no implica alteraciones en la ejecución presupuestal.</t>
  </si>
  <si>
    <t>Durante el mes de marzo se adelantaron acciones orientadas a la preparación de la convocatoria 2026-2. Estas actividades incluyeron la elaboración y organización del contenido pedagógico para la publicación de los cursos de formación en la página web. De manera paralela, se mantuvo articulación con la Oficina Asesora de Comunicaciones y Pedagogía y con el Grupo Interno de Trabajo de Gestión Tecnológica, con el fin de coordinar los aspectos relacionados con el diseño de la página web y la estrategia de difusión de la convocatoria en las diferentes plataformas institucionales.
Adicionalmente, desde el equipo de la Red de Apoyo se ha venido impulsando la difusión de la nueva convocatoria a través de los distintos canales de comunicación. En este sentido, se tiene prevista la publicación de la convocatoria junto con el Banco de Necesidades Técnicas durante la cuarta semana de abril.
Por otra parte, durante el mes de marzo se brindó acompañamiento técnico a las 30 propuestas que se encuentran en fase de implementación de los productos pactados.
Finalmente, como parte del proceso de articulación con la Oficina Asesora de Planeación, se continúan adelantando los trámites administrativos correspondientes a las propuestas seleccionadas en la convocatoria, en coordinación con la Organización Internacional para las Migraciones (OIM), la Embajada de Suecia en Colombia y el Fondo Multidonante de las Naciones Unidas para la Paz en Colombia. En este contexto, el equipo de Prevención y Protección (PyP) adelantó un estudio previo para identificar el tipo de riesgo asociado a cada una de estas propuestas.</t>
  </si>
  <si>
    <t>LOGROS: 
- El apoyo de la Subdirección Técnica de Investigación Humanitaria para orientar a las personas en el uso y manejo de la herramienta KOBO, destinada al registro de la información.
- Se evidenció un alto nivel de compromiso por parte de los GITT en el apoyo a la recolección de información de cara a la segunda convocatoria.
- Una de las propuestas correspondientes a persona natural finalizó de manera anticipada la ejecución de su propuesta.
- Junto a la Subdirección Técnica de Investigación Humanitaria se han programado espacios personalizados con los contratistas, con el fin de abordar las inquietudes o dificultades de acceso a la herramienta.
- Desde la oficina de Secretaria General, la Subdirección de Gestión Administrativa y financiera y la Subdirección de Participación y Enfoques Diferenciales (Equipo Red de Apoyo) nivel central se ha brindado acompañamiento jurídico, administrativo y técnico a cada uno de los GITR Y GITT donde se están implementando propuestas de la estrategia Red de Apoyo.
DIFICULTADES:
- Algunas personas reportaron fallas en la herramienta KOBO al momento de registrar la información asociada a sus propuestas de búsqueda.
- La radicación de cuentas de cobro por parte de personas jurídicas presentó dificultades, debido a la obligación de facturación electrónica y a la limitada capacidad o experticia de algunas organizaciones para realizar ajustes en su régimen tributario. Esto generó retrasos, ya que en algunos casos los supervisores no contaban con los soportes de facturación requeridos para gestionar el trámite en la plataforma Gestionemos.</t>
  </si>
  <si>
    <t>Durante el mes de febrero, se formalizaron y firmaron 31 propuestas de búsqueda. Estas cuentan con un cronograma de ejecución establecido hasta el mes de julio, la ejecución de los contratos se remite en anexo.  
- Novedad contractual: Durante el mes de marzo, una de las organizaciones contratadas (Asociación de Jóvenes Rurales gestores de Paz - Asorural) manifestó su intención de desistir del contrato de manera anticipada, por lo que hasta la fecha 30 propuestas de búsqueda se encuentran implementando.</t>
  </si>
  <si>
    <t>Durante el mes de abril, los Enlaces de Tejido y Diálogo Social llevaron a cabo jornadas de socialización presencial en los diferentes territorios de cobertura de los GITT. Estas actividades estuvieron dirigidas a personas buscadoras y actores estratégicos del territorio, tales como organizaciones sociales, comunidades indígenas, comunidades Negras, Afrocolombianas, Raizales y Palenqueras, población campesina y personas LGBTIQ+.
Si bien la convocatoria del Banco de Iniciativas de la Red de Apoyo tiene previsto su lanzamiento formal en el mes de mayo, los enlaces iniciaron, como ejercicio preparatorio, acciones de socialización presencial en los distintos territorios de cobertura de la entidad, con el propósito de desarrollar procesos pedagógicos orientados a promover el nuevo enfoque de la estrategia.
Como resultado preliminar, se reporta la socialización de la estrategia a 49 personas naturales y 27 organizaciones, así como la capacitación de 38 personas.
 De otra parte, en la ejecución de 30 contratos se reportan los siguientes entregables: 57 tomas de muestra, 10 archivos personales, 55 nuevas solicitudes de búsqueda, 22 solicitudes de búsqueda actualizadas, 2 LIF en Cementerio y 12 LIF a campo abierto.</t>
  </si>
  <si>
    <t>LOGROS: 
 - Se destaca el haber llegado a múltiples comunidades, organizaciones sociales, juntas de acción comunal, instituciones y personas buscadoras, aportantes de información de territorios de difícil acceso como el caso del Guaviare y Guainía en los que se desarrollaron estrategias de socialización hibrida (vitual y presencial) 
 - Se avanza en la difusión de la convocatoria Banco de Iniciativas de la Red de Apoyo llegando a territorios en los que antes no se había tenido presencia. 
 - Se identifica que en el marco de las socializaciones se llevan a cabo diversas metodologías que permiten llegar de una forma contextualizada a los diferentes grupos poblacionales como los antes mencionados. 
 - A partir de las socializaciones surgen aportes y preguntas significativas que permiten fortalecer la convocatoria que se viene impulsando. 
 DIFICULTADES: 
 - Entre las dificultades presentadas tiene que ver con que algunos de los Grupos Internos de Trabajo no lograron desarrollar acciones de socialización presencial, lo que hace que se invite a que en los próximos meses se lleve a cabo el ejercicio. 
 - En el marco de la ejecucion contractual algunos contratistas refirieron dificultades de acceso a la plataforma KOBO, estas fueron puestas en conocimiento a la Subdireccion Tècnica de investigaciòn Humanitaria.</t>
  </si>
  <si>
    <t>Ajustar el reporte de la ficha</t>
  </si>
  <si>
    <t>L5-IHAE-009</t>
  </si>
  <si>
    <t>Avance de la Estrategia de Busqueda Igualitaria Activa</t>
  </si>
  <si>
    <t>Implementar la estrategia 'BÚSQUEDA IGUALITARIA ACTIVA: Escuchamos/Investigamos/Resolvemos', mediante documentos para identificar solicitudes de búsqueda.</t>
  </si>
  <si>
    <t xml:space="preserve">Implementar la estrategia 'BÚSQUEDA IGUALITARIA ACTIVA: Escuchamos/Investigamos/Resolvemos', mediante procesos de participación evaluable, la activación de redes de información con enfoque diferencial y el seguimiento de solicitudes de búsqueda priorizadas, con el fin de dinamizar la investigación.
OBJETIVOS ESPECÍFICOS
1. Implementar una participación evaluable por pasos enfocada en la investigación
2. Conocer el estado de investigaciones priorizadas con el fin de avanzar al paso siguiente (investigación y seguimiento)
3. Activar redes de información
4. Explicar metodologías de búsqueda que tienen en cuenta las discriminaciones múltiples </t>
  </si>
  <si>
    <t xml:space="preserve">∑= V1t… V3t </t>
  </si>
  <si>
    <t xml:space="preserve">Numero de Documentos de protocolo y/o metodologías de investigación diseñados </t>
  </si>
  <si>
    <t>Número de formatos "Historias de Vida" diligenciados y anexados a expedientes</t>
  </si>
  <si>
    <t>Numero de Unidades de Análisis documentadas</t>
  </si>
  <si>
    <t>Creación propia de archivos, SIM Busquemos, Archivo General y Comisión de la Verdad.
Reporta: Variables 1 a 3: Subdirección Técnica de Participación y Enfoques Diferenciales</t>
  </si>
  <si>
    <t xml:space="preserve">VARIABLE 1: Numero de Documentos de protocolo y/o metodologías de investigación diseñados: En este momento se está trabajando en 3 documentos metodológicos y protocolos útiles para la la búsqueda igualitaria: 1. Protocolo Bio-Cultural para el abordaje e identificación de cuerpos trans y no binarios  (el Equipo de Búsqueda Igualitaria financiada por el Fondo Multidonante para la Paz de Naciones Unidas) está trabajando en un protocolo que tiene como objeto orientar de manera técnica, estandarizada y diferenciada los procesos de análisis e identificación forense de personas trans y de género diverso en Colombia, integrando: La construcción de perfiles bioculturales; El reconocimiento de intervenciones corporales formales e informales de afirmación de género; Las particularidades de intervenciones contemporáneas, intervenciones históricas o clandestinas propias del contexto colombiano de desaparición; La lectura forense-contextual de patrones de violencia asociados a la violencia por prejuicio, incluyendo modalidades de sevicia, disposición del cuerpo, mensajes sociales y prácticas de ocultamiento o exhibición, como insumos analíticos para la formulación de hipótesis de identificación y búsqueda, sin inferir identidades a partir de la violencia sufrida)/ 2. Línea de tiempo con metodologías para investigar violencia por prejuicio (Equipo de Búsqueda Igualitaria) está trabajando en una línea del Tiempo de Metodologías LGBTIQ+ y Género, que tiene como objetivo construir una línea de tiempo que muestre cómo la UBPD ha ido generando, recibiendo, ajustando o proponiendo metodologías para la búsqueda de población LGBTIQ+, desde los primeros lineamientos institucionales hasta los documentos más recientes. La línea del tiempo busca reflejar: Qué metodología surgió; En qué documento aparece; En qué año surge; A qué necesidad respondía; Qué aporta a la búsqueda humanitaria; Cómo evoluciona a lo largo del tiempo)/ 3. Metodología de investigación para personas desaparecidas con discapacidad - Piloto (Este año se proyecta avanzar en inverstigación de solcitudes de búsqueda y en sistematizar ese proceso). VARIABLE 2: Número de formatos "Historias de Vida" diligenciados y anexados a expedientes: A corte 15 de febrero de 2026, se cuenta con 50 personas confirmadas como LGBTIQ+ desaparecidas en el contexto del conflicto armado colombiano. De estas solicitudes, 18 familias han aceptado participar en la estrategia de Búsqueda Igualitaria Activa De Personas LGBTIQ+, 19 prefirieron no hacerlo y 13 se encuentran en proceso de confirmación. Todas las solicitudes de búsqueda identificadas, cuentan con un plan operativo de búsqueda y las acciones investigativas continúan, independientemente de su participación en esta metodología de búsqueda y estrategia de difusión. A corte del 28 de febrero, 11 historias de vida están disponibles y se está trabajando en la estrategia de comunicaciones para marzo/ VARIABLE 3: Numero de Unidades de Análisis documentadas: Esta línea de trabajo quedó incluida en el Plan de Trabajo y está en fase de planeación para llevar a cabo las metas propuestas. </t>
  </si>
  <si>
    <t xml:space="preserve">Logros: 
-  Validación del protocolo por profesionales expertos en temas forenses, médicos y de salud trans. Asimismo, se tuvo un espacio de validación técnica con Luis Fonderbrider en este sentido el protocolo cuenta con validación por un experto par internacional. 
- Contacto con 11 familias. 
Dificultades:
- La orientación sexual y la identidad de género diversa sigue siendo tabú en los contextos familiares. </t>
  </si>
  <si>
    <t xml:space="preserve">Estamos muy orgulloses y nos sentimos honrades desde la estartegia de poder contribuir a la paz con nuestro trabajo. </t>
  </si>
  <si>
    <t>Variable 1- Número de Documentos de protocolo y/o metodologías de investigación diseñados: En este momento no está el producto final y por eso se reporta en 0. Sin embargo, un borrador del Protocolo para abordaje de cuerpos trans fue presentado en el Comité Directivo y actualmente se están incorporando las recomendaciones que se dieron.
Variable 2 - Número de formatos "Línea de Vida Identitaria" diligenciados y anexados a expedientes: Para este periodo se logró el consentimiento informado para 3 solicitudes de búsqueda de los priorizadas por el equipo de Búsqueda Igualitaria, que corresponden a 2 mujeres cisgénero priorizadas interseccionalmente y un caso de 1 persona trans.
Variable 3 - Numero de Unidades de Análisis documentadas: Para este periodo se realizó un taller práctico liderado por el Grupo Interno de Trabajo de Metodologías e Innovación para la Búsqueda de la Subdirección Técnica de Investigación Humanitaria (STIH). En dicho espacio participó el equipo de Búsqueda Igualitaria así como las enlaces interseccionales de las regionales. Este taller buscó fortalecer los conocimientos y apropiar las metodologías de agrupación de información que permitirán la construcción de unidades de análisis, así como afianzar la comprensión sobre cómo se lleva a cabo la actualización de los Planes Regionales, las articulaciones necesarias para dicho fin y quienes son los actores involucrados, así mismo, nos permitió ver la rigurosidad con la que se requiere analizar la información sobre las temporalidades y dinámicas del conflicto en cada territorio en particular, los actores armados involucrados, los perfiles sociales de las personas desaparecidas y así consolidar una unidad de análisis. En este periodo también se realizó el acompañamiento en la actualización de los Planes Regionales de Sur de Cundinamarca y Alto Putumayo. Para esta actualización, se priorizó la incorporación del enfoque diferencial y de género desde el análisis mismo de las cifras disponibles en el Sistema de Información Misional, es decir, asumiendo buenas prácticas como mencionar que la ausencia de información no significa que no exista la información, así como también un reconocimiento formal, frente a que la mención de una cifra no representa un inclusión efectiva ni significativa, por el contrario se requiere unas proyecciones específicas para avanzar en la construcción de confianza de poblaciones históricamente discriminadas estigmatizadas en los territorios.</t>
  </si>
  <si>
    <t>LOGROS: 
3 historias de vida más, incluyendo los primeros de la estrategia para mujeres.
DIFICULTADES: 
- Definición de la Unidades de Análisis, ya que una de las proyectadas que corresponde a "sexilio"; y ésta haría referencia a personas que buscan desde el exterior y que se exiliaran por su orientación sexual o identidad de género. Sin embargo, técnicamente las Unidades de Análisis se construyen a partir de personas dadas por desaparecidas y no con respecto a personas buscadoras. En Abril, trabajaremos sobre esto.</t>
  </si>
  <si>
    <t>Variable 1- Número de Documentos de protocolo y/o metodologías de investigación diseñados: se trabajó en el Protocolo Biocultural para la Identificación de personas trans y no Binarias, se proyecta lanzarlo la primera semana de junio. 
Variable 2 - Número de formatos "Línea de Vida Identitaria" diligenciados y anexados a expedientes: El GITT Guaviare tiene 3 carteles de mujeres y 1 LGBT nuevo, en el GITT Valle del Cauca 2 carteles LGBT nuevos. 
Variable 3 - Numero de Unidades de Análisis documentadas: Desde el equipo de Búsqueda Igualitaria se avanzó en la distribución departamental interna para asumir el liderazgo en la selección, revisión y análisis de un Plan Regional de Búsqueda por cada departamento priorizado en el proyecto: Meta, Casanare, Guaviare, Cundinamarca, Putumayo y Valle del Cauca. Esta revisión permitirá identificar el Universo de personas desaparecidas en cada territorio y contrastar la información disponible en los documentos de los PRB con la información que tengan los equipos o investigadores/as territoriales asignados/as a cada plan. A partir de ese cruce, y de la comprensión de las dinámicas del conflicto, los periodos de ocurrencia y los actores armados involucrados, se avanzará en la delimitación de posibles Unidades de Análisis.
La delimitación dependerá de la cantidad y calidad de información disponible sobre el Universo de personas dadas por desaparecidas en cada PRB, garantizando la incorporación del enfoque de género y diferencial, así como el enfoque en niños, niñas y adolescentes - NNAJ y personas con discapacidad, siempre que exista información suficiente para el análisis.</t>
  </si>
  <si>
    <t>LOGROS: 
- Se avanzó en el evento de lanzamiento de un protocolo bastante importante e histórico para el país, en 6 formatos de línea de vida y en la organización por grupos con pasantes y practicantes para el alistamiento de la investigación y redacción de las Unidades de análisis.
DIFICULTADES: 
- No se reportan dificultades en esta vigencia.</t>
  </si>
  <si>
    <t>L5-IHAE-010</t>
  </si>
  <si>
    <t>Seguimiento a la Estrategia de armonización, articulación y operativización de la búsquéda  en el marco de la Estrategia de Busqueda Igualitaria Activa</t>
  </si>
  <si>
    <t>Crear espacios seguros con pedagogía enfocada en la búsqueda activa, en procesos de participación y activación de redes de información.</t>
  </si>
  <si>
    <t>Número de espacios realizados de escucha con redes</t>
  </si>
  <si>
    <t>Número de espacios de dialogo realizados con autoridades étnicas.</t>
  </si>
  <si>
    <t>Número de talleres de intercambio técnico-étnico realizados.</t>
  </si>
  <si>
    <t>Número de misiones humanitarias de prospección/recuperación ejecutadas bajo planes étnicos.</t>
  </si>
  <si>
    <t>Número de jornadas de búsqueda activa realizadas en zonas priorizadas y nodos consulares.</t>
  </si>
  <si>
    <t>Listados de asistencia y evidencia fotogáfica.
Reporta: Variables: Subdirección Técnica de Participación y Enfoques Diferenciales (Matilda 1) (Cristina 2 al 4) (Gloria 5)</t>
  </si>
  <si>
    <t>VARIABLE 1: Número de espacios realizados de escucha con redes: En coordinación con la organización Liga de Salud Trans se realizó un espacio de socialización del Protocolo Bio-Cultural para abordaje de cuerpos trans y no binaries con profesionales de la salud trans y con personas trans de sociedad civil (un total de 12 personas, se hizo a las 9:30AM el 27 de enero). Por otra parte, quedaron incluidos en nuestro Plan de Trabajo para trabajar con los enlaces interseccionales/ VARIABLE 2: Número de espacios de dialogo realizados con autoridades étnicas: En coordinación con el Grupo Interno de Trabajo Pacifico Naiñense se realizó el 9 de febrero reunión solicitada por la Consejería de UNIPA para interlocutar directamente con la Subdirección Técnica de Participación y Enfoques Diferenciales y avazar en la concertación y/o coordinación de las acciones de recuperación en los resguardos, así como la capacitación de la Guardia Indígena./ VARIABLE 3: Número de talleres de intercambio técnico-étnico realizados. El la reunión realizada el 9 de febrero se avanzo el diálogo con la Organiazación UNIPA para la capacitación de la Guardia Indígena en conjunto con el GITT Pacifico Nariñense. / VARIABLE 4: Número de espacios de dialogo realizados con autoridades étnicas.Se avanzó en el Plan de Trabjo para implementar esta variable./ VARIABLE 5: Número de jornadas de búsqueda activa realizadas en zonas priorizadas y nodos consulares: Se avanzó en el Plan de Trabjo para implementar esta variable</t>
  </si>
  <si>
    <t>Logros: 
- Se avanzo el diálogo con la Organiazación UNIPA para la capacitación de la Guardia Indígena en conjunto con el GITT Pacifico Nariñense.</t>
  </si>
  <si>
    <t>Variable 1 -Número de espacios realizados de escucha con redes: a. El 25 de marzo del 2026 “se llevó a cabo un espacio virtual denominado “Las mujeres buscadoras y sus organizaciones, medida de información del Informe Mujeres Buscadoras del Articulo 9”, realizado con la finalidad de generar un diálogo con las organizaciones de mujeres buscadoras participantes, respecto al contenido del informe. Este ejercicio conto con el apoyo metodológico de la mayoría de las entidades mencionadas en el artículo 90, quienes facilitaron el trabajo por mesas y la elaboración del acta para cada uno de los  ejes temáticos. Al espacio acudieron 24 mujeres buscadoras y sus organizaciones, dentro de las cuales estaban Corporación Reiniciar,  Asociación de mujeres buscadoras de Samaniego, Asociación de mujeres buscadoras de Nariño,  Mujeres buscadoras de ETCR (Nariño y Guajira), Organizaciones y asociaciones de mujeres buscadoras de Ocaña (Norte de Santander), Organizaciones y asociaciones de mujeres buscadoras de Guaviare,  Territoriales de ASFADDES, Territoriales de la Corporación Humanitaria Reencuentros,  Asociación de mujeres buscadoras de víctimas de desaparición forzada integrantes de la Policía Nacional, Asociación de mujeres buscadoras de Venezuela,   Asociación de buscadoras del Norte de Santander delegada en la Medida Cautelar decretada en el Macrocaso de Desaparición Forzada,  ASODEMO,  Mujer sigue tus pasos,ASOPERBUSCA, entre otras./ b. Espacio de diálogo con organizaciones y población LGBTIQ+ (13 de marzo de 2026)- Este espacio tuvo como propósito la socialización y retroalimentación del protocolo para la identificación de personas trans y de género diverso, y se configuró como un ejercicio de escucha activa y construcción colectiva de conocimiento con organizaciones sociales y personas LGBTIQ+ del territorio. Se recogieron insumos sobre: prácticas de construcción identitaria, modificaciones corporales, patrones de violencia, trayectorias de vida y resistencia. Metodológicamente incluyó: talleres participativos, cartografías corporales y sociales, diálogo abierto con actores comunitarios. Este espacio permitió incorporar saberes situados y experiencia territorial directamente desde redes LGBTIQ+, constituyéndose en un escenario claro de escucha con sociedad civil./ c. Encuentro con mujeres buscadoras (14 de marzo de 2026)- Se desarrolló un espacio participativo con mujeres buscadoras, el cual incluyó diálogo de saberes, identificación de barreras y construcción de propuestas colectivas.Se abordaron: experiencias de búsqueda, barreras en procesos de acreditación, necesidades de protección y participación. Incluyó: mesas de trabajo grupales, ejercicios de memoria colectiva, diálogo directo con las participantes. Este espacio funcionó como un escenario de escucha estructurada con redes de buscadoras, permitiendo recoger insumos clave para el fortalecimiento institucional.
Variable 2. Número de espacios de dialogo realizados con autoridades étnicas. a) Regional sur: se realizó espacio de diálogo intercultural entre el GITT Huila con el COSEJO REGIONAL NDIGENA DE HUILA - CRIHU, con la participación de la Consejería de Derechos Humanos./ b) Regional Norte: Se realizó dialogo con autoridades del pueblo Wiwa./ y c) Regional Suroccidente: Se realizó diálogo de articulación para la búsqueda con autoridades del consejo comunitario Unión del río Chagüí.
Variable 3. Número de talleres de intercambio técnico-étnico realizados. Se continúa avanzando en la coordinación con las autoridades étnicas correspondientes. 
Variable 4. Número de misiones humanitarias de prospección/recuperación ejecutadas bajo planes étnicos. a) Regional Norte: se realizó Prospección y Recuperación en territorio del pueblo indígena Wiwa, con identidad orientada a PDD del pueblo Indígena Kankuamo./ b) Regional Suroccidente: Se realizó Prospección con fines de recuperación en Consejo Comunitario Rescate Las Varas.
Variable 5. Número de jornadas de búsqueda activa realizadas en zonas priorizadas y nodos consulares: Se ha avanzado en la coordinación con la Cancillería para hacer seguimiento al Memorando de Entendimiento propuesto por nuestra entidad. El objetivo es fortalecer las acciones que permitan a los connacionales conocer la labor de la Unidad y encontrar, a través de los consulados, el apoyo necesario para garantizar su participación en los procesos de búsqueda.</t>
  </si>
  <si>
    <t>LOGROS: 
- Realización de 3 espacios de participación.
- Consolidación de 3 espacios de interlocución con autoridades étnicas en las regiones Norte, Sur y Suroccidente. 
- Se ejecutaron con éxito misiones humanitarias de prospección y recuperación en territorios étnicos. 
DIFICULTADES: 
n/a</t>
  </si>
  <si>
    <t>Variable 1 -Número de espacios realizados de escucha con redes: se realizó un espacio de socialización del protocolo con Caribe Afirmativo, Colombia Diversa y Equitas  con el fin de escuchar sus aportes y experiencias que puedan ser útiles para la construcción del Protocolo
Variable 2. Número de espacios de dialogo realizados con autoridades étnicas: Espacio de diálogo y concertación con delegados de la Organización Indígena de Antioquia OIA, para desarrollar acciones humanitarias de pedagogía e impulso de búsqueda en Mutatá.
Variable 5: Número de jornadas de búsqueda activa realizadas en zonas priorizadas y nodos consulares:  Se avanzó en una socialización (7 de abril)  con los enlaces interseccionales donde se les impartió las lineas de trabajo con la estrategia de busqueda internacional  https://drive.google.com/file/d/1HA1JEtqv_IisWSNtlHiFGR9JwiJR08oZ/view.  De otra parte se reforzó estas líneas mediante correo enviado el 22 de abril y se enviaron los instrumentos para el seguimiento a los encuentros regionales, los cuales se espera sean diligenciados en cada jornada.</t>
  </si>
  <si>
    <t>LOGROS: 
- Se avanzó en la realización de un espacio de diálogo de concertación con pueblos étnicos para el impulso de las acciones de busqueda. 
- Se logró avanzar en la socialización a los enlaces Interseccionales todo lo relacionado a los nodos consulares y se logró construir herramientas que permiten hacer el respectivo seguimiento en los siguientes meses, como tambien el formato que permite dar balance de los encuentros regionales. 
DIFICULTADES: 
- Se reporta que enlaces interseccionales no acuden a los espacios de socialización y  no enviaron una retroalimentación oportuna, lo cual dificulta avanzar más rápido.</t>
  </si>
  <si>
    <t>Estrategia de contacto permanente y diferenciada, implementada - Fase II</t>
  </si>
  <si>
    <t>L5-IHAE-011</t>
  </si>
  <si>
    <t>Unidades móviles en operación</t>
  </si>
  <si>
    <t>Determinar el número de unidades móviles que se encuentran en operación</t>
  </si>
  <si>
    <t>No. de unidades móviles terrestres</t>
  </si>
  <si>
    <t>No. de unidades móviles fluviales</t>
  </si>
  <si>
    <t>Subdirección de Gestión Humana</t>
  </si>
  <si>
    <t>L5-IHAE-012</t>
  </si>
  <si>
    <t>Seguimiento a las capacitaciones de los investigadores en el marco de la Estrategia de Busqueda Igualitaria Activa</t>
  </si>
  <si>
    <t>Entrenar a los equipos investigadores en la lectura de cuerpos trans y diversos para evitar que sesgos de análisis oculten la identidad de la víctima</t>
  </si>
  <si>
    <t>Porcentaje de equipos forense/investigadores capacitados en lectura de cuerpos diversos y no-binarios.</t>
  </si>
  <si>
    <t>Listados de asistencia.
Reporta: Variable 1: Subdirección Técnica de Participación y Enfoques Diferenciales</t>
  </si>
  <si>
    <t xml:space="preserve">Se estableció el total del equipo forense, con el fin de sacar el % establecido para la meta, de acuerdo con la Subdirección General Técnica y Territorial, son 244 personas distribuidas así: 
- Asistente Forense 38
- Antropólogo/a 46
- Topógrafo/a Forense 34 
- Investigador/a 126 
Actualmente se esta trabajando en el Protocolo, ya que este es base para realizar las capacitaciones. </t>
  </si>
  <si>
    <t xml:space="preserve">No se reportan avances ni dificultades para esta vigencia. </t>
  </si>
  <si>
    <t>En este momento se tiene un borrador del Protocolo para abordaje de cuerpos trans el cual fue presentado en el Comité Directivo y actualmente se están incorporandoo las recomendaciones que se dieron.</t>
  </si>
  <si>
    <t>No se reportan logros ni dificultades para esta vigencia.</t>
  </si>
  <si>
    <t xml:space="preserve">Variable 1 - Porcentaje de equipos forense/investigadores capacitados en lectura de cuerpos diversos y no-binarios: Esta meta es de 80% de 244 personas de equipos forenses e investigativos, a la fecha se han cpacitado 7 personas (2,30%) , el dato diferenciado es:
• Casanare: 6 personas del equipo forense.
• Guaviare: 1 persona forense.
Como dato adicional: Se han realizado socializaciones más amplias con otros/as servidores/as y organizaciones de comunidad como Caribe Afirmativo, Equitas y Colombia Diversa. </t>
  </si>
  <si>
    <t xml:space="preserve">LOGROS:
- Como logro principal se reportan los primeros espacios con equiposde investigación.
DIFICULTADES: 
- No se reportan dificultades para esta vigencia. </t>
  </si>
  <si>
    <t>Ajustar en la ficha. El reporte cualitativo indica que las capacitaciones iniciaron en abril, en el reporte cuantitativo el reporte inicia en mayo.</t>
  </si>
  <si>
    <t>L5-GAD-001</t>
  </si>
  <si>
    <t>PQRSD recibidas</t>
  </si>
  <si>
    <t>Reportar el número de peticiones, quejas, reclamos, sugerencias y denuncias, que recibe la entidad a través de los diferentes canales de atención: virtual, presencial y telefónico.</t>
  </si>
  <si>
    <t>Toda comunicación tipificada como PQRSD, deberá ser remitida a Servicio Ciudadano a través del correo electrónico servicioalciudadano@unidadbusqueda.gov.co, para ser radicada a través del SGDEA – SIDOBU,  independientemente del canal por el que haya ingresado , así como  las recepcionadas en cualquiera de los Grupos Internos de Trabajo Regional o Territorial o cualquiera de las dependencias de la UBPD.</t>
  </si>
  <si>
    <t>(No. de PQRSD recibidas por el canal i/ Total PQRSD recibidas en el periodo)*100</t>
  </si>
  <si>
    <t>Número de PQRSD recibidas por el canal</t>
  </si>
  <si>
    <t>Total PQRSD recibidas en el periodo</t>
  </si>
  <si>
    <t>Enero
En el mes de enero se recibieron 197 PQRSD, de las cuales la gran mayoria fueron gestionadas a través del canal virtual (178 casos), lo que evidencia la preferencia de la ciudadanía por este medio y la consolidación de los canales digitales como la principal vía de interacción con la entidad. Este comportamiento representa un logro importante en la efectividad y accesibilidad de los canales tecnológicos.
Otro aspecto positivo es la diversificación de los canales de atención, ya que además del virtual, también se recibieron solicitudes por vía presnecial (12) y telefónica (7), lo cual demuestra que existen alternativas disponibles para distintos perfiles de usuarios garantizando que la ciudadanía pueda acceder según sus necesidades.
Febrero: 
En el mes de febrero se recibieron 308 PQRSD, de las cuales la gran mayoria fueron gestionadas a través del canal virtual (266 casos), lo que evidencia la preferencia de la ciudadanía por este medio y la consolidación de los canales digitales como la principal vía de interacción con la entidad. Este comportamiento representa un logro importante en la efectividad y accesibilidad de los canales tecnológicos.
Otro aspecto positivo es la diversificación de los canales de atención, ya que además del virtual, también se recibieron solicitudes por vía telefónica (29) y presencial (13), lo cual demuestra que existen alternativas disponibles para distintos perfiles de usuarios garantizando que la ciudadanía pueda acceder según sus necesidades.</t>
  </si>
  <si>
    <t>LOGROS:
- Consolidación del canal virtual como principal medio de atención, optimizando tiempos de respuesta y facilitando el acceso desde cualquier lugar.
DIFICULTADES:
Febrero:
LOGROS:
- Se alcanzó un alto volumen de gestiones virtuales (210), demostrando eficiencia y preferencia por parte de los usuarios.</t>
  </si>
  <si>
    <t>El avance cuantitativo que se relaciona, se da teniendo en cuenta la fecha de corte el que se reporta el indicador, en este sentido si se solicita un reporte por mes, puede que este no coincida exactamente con los reportes enviados en esta fecha.
Febrero:
El avance cuantitativo que se relaciona, se da teniendo en cuenta la fecha de corte el que se reporta el indicador, en este sentido si se solicita un reporte por mes, puede que este no coincida exactamente con los reportes enviados en esta fecha.</t>
  </si>
  <si>
    <t>En el mes de marzo se recibieron 241 PQRSD, de las cuales la gran mayoría fueron gestionadas a través del canal virtual (219 casos), lo que evidencia la preferencia de la ciudadanía por este medio y la consolidación de los canales digitales como la principal vía de interacción con la entidad. Este comportamiento representa un logro importante en la efectividad y accesibilidad de los canales tecnológicos.
Otro aspecto positivo es la diversificación de los canales de atención, ya que además del virtual, también se recibieron solicitudes por vía telefónica (19) y  presencial (3), lo cual demuestra que existen alternativas disponibles para distintos perfiles de usuarios garantizando que la ciudadanía pueda acceder según sus necesidades.</t>
  </si>
  <si>
    <t>LOGROS:
- La capacidad operativa de la entidad para gestionar un volumen considerable de PQRSD (249 en un mes), lo que sugiere eficiencia en los procesos internos de atención y respuesta</t>
  </si>
  <si>
    <t>El avance cuantitativo que se relaciona, se da teniendo en cuenta la fecha de corte el que se reporta el indicador, en este sentido si se solicita un reporte por mes, puede que este no coincida exactamente con los reportes enviados en esta fecha</t>
  </si>
  <si>
    <t>En el mes de abril se recibieron 274 PQRSD, de las cuales la gran mayoría fueron gestionadas a través del canal virtual (248 casos), lo que evidencia la preferencia de la ciudadanía por este medio y la consolidación de los canales digitales como la principal vía de interacción con la entidad. Este comportamiento representa un logro importante en la efectividad y accesibilidad de los canales tecnológicos.
Otro aspecto positivo es la diversificación de los canales de atención, ya que además del virtual, también se recibieron solicitudes por vía telefónica (20) y  presencial (6), lo cual demuestra que existen alternativas disponibles para distintos perfiles de usuarios garantizando que la ciudadanía pueda acceder según sus necesidades.</t>
  </si>
  <si>
    <t>LOGROS:
- Las herramientas digitales demuestran efectividad y accesibilidad, facilitando la interacción con la UBPD.
DIFICULTADES:</t>
  </si>
  <si>
    <t>L5-GAD-002</t>
  </si>
  <si>
    <t>PQRSD Gestionadas</t>
  </si>
  <si>
    <t>Realizar el seguimiento a la gestión de las peticiones, quejas, reclamos, sugerencias y denuncias recibidas por la Entidad.</t>
  </si>
  <si>
    <t>Toda PQRSD debe resolverse dentro del término establecido en las normas legales y procedimientos internos, contados a partir del día siguiente a su recepción en la Entidad.</t>
  </si>
  <si>
    <t>(No. de PQRS gestionadas según estado i/ Total PQRSD recibidas en el periodo)*100</t>
  </si>
  <si>
    <t>Número de PQRS gestionadas según estado</t>
  </si>
  <si>
    <t>Total PQRS recibidas en el periodo</t>
  </si>
  <si>
    <t>Enero:
En el mes de enero, se envidencia un 96,4% de las solicitudes cerradas las cuales fueron gestionadas dentro del plazo establecido, lo que evidencia un alto nivel de cumplimiento en los tiempos de respuesta y refleja la eficiencia en la gestión. Frente a las PQRSD cerradas fuera de término fueron 7 PQRSD lo que equivale al 3,6%, lo cual representa un porcentaje bajo frente al total, consolidando un indicador positivo en oportunidad de atención.
Febrero: 
En el mes de febrero, y a la fecha del reporte (6 de marzo) se envidencia un 68,2% de las solicitudes cerradas las cuales fueron gestionadas dentro del plazo establecido, lo que evidencia un nivel de cumplimiento en los tiempos de respuesta. Se destaca que sólo 3 PQRSD lo que equivale al 1,0% fueron cerradas fuera de término, lo cual representa un porcentaje muy bajo frente al total, consolidando un indicador positivo en oportunidad de atención.</t>
  </si>
  <si>
    <t xml:space="preserve">Enero:
LOGROS:
- Cierre del 96,4% de los trámites dentro del plazo establecido, lo que demuestra un alto nivel de cumplimiento y compromiso de los GITT y las Dependiencias por dar respuesta a las PQRSD en los tiempos establecidos.
Febrero:
LOGROS:
- Alertas diarias a traves del chat institucional a los enlaces de PQRSD. </t>
  </si>
  <si>
    <t>Enero:
El avance cuantitativo que se relaciona, se da teniendo en cuenta la fecha de corte el que se reporta el indicador, en este sentido si se solicita un reporte por mes, puede que este no coincida exactamente con los reportes enviados en esta fecha, puesto que se encuentran PQRSD en "trámite de respuesta".
Febrero:
El avance cuantitativo que se relaciona, se da teniendo en cuenta la fecha de corte el que se reporta el indicador, en este sentido si se solicita un reporte por mes, puede que este no coincida exactamente con los reportes enviados en esta fecha, puesto que se encuentran PQRSD en "trámite de respuesta".</t>
  </si>
  <si>
    <t>En el mes de marzo, se evidencia que un 76,34 % de las solicitudes cerradas fueron gestionadas dentro del plazo establecido, lo que demuestra un alto nivel de cumplimiento en los tiempos de respuesta y refleja la eficiencia en la gestión. Frente a las PQRSD cerradas fuera de término fueron 2 PQRSD lo que equivale al 0,82%, lo cual representa un porcentaje bajo frente al total, consolidando un indicador positivo en oportunidad de atención.</t>
  </si>
  <si>
    <t xml:space="preserve">LOGROS:
- El fortalecimiento de los procesos internos de seguimiento y control, que permite mantener estabilidad en la gestión de tiempos y evitar acumulación de solicitudes atrasadas.
DIFICULTADES:
- La necesidad de avanzar hacia niveles más altos de cumplimiento en oportunidad, ya que aún existe un margen de mejora para lograr que la totalidad de las solicitudes se gestionen dentro de los tiempos establecidos.
</t>
  </si>
  <si>
    <t>El avance cuantitativo que se relaciona, se da teniendo en cuenta la fecha de corte el que se reporta el indicador, en este sentido si se solicita un reporte por mes, puede que este no coincida exactamente con los reportes enviados en esta fecha, puesto que se encuentran PQRSD en "trámite de respuesta".</t>
  </si>
  <si>
    <t>En el mes de abril, se evidencia que un 60,58% de las solicitudes cerradas fueron gestionadas dentro del plazo establecido, lo que demuestra un nivel de cumplimiento en los tiempos de respuesta y refleja la eficiencia en la gestión. Frente a las PQRSD cerradas fuera de término fueron 3 PQRSD lo que equivale al 1,09%, lo cual representa un porcentaje bajo frente al total, consolidando un indicador positivo en oportunidad de atención.
A partir del mes de abril se inició el seguimiento a la encuesta de satisfacción incluida en las respuestas a las PQRSD. En este proceso, se ha hecho especial énfasis —a través de capacitaciones y alertas semanales— en la importancia de incorporar el enlace de la encuesta en todas las respuestas, con el fin de conocer la opinión de la ciudadanía.
Durante abril se recibieron 5 respuestas a la encuesta, de las cuales 3 indican que recomendarían favorablemente a la entidad para adelantar acciones en torno a la búsqueda, lo que refleja una percepción positiva del servicio brindado.
Frente a la encuesta de WhatsApp, se recibieron 32 respuestas. El principal medio por el cual las personas manifestaron haberse enterado de la Unidad fue la página web (10 respuestas), seguido de las redes sociales (7 respuestas). Asimismo, en una escala de recomendación, la Unidad obtuvo 23 respuestas con una calificación de 10 puntos para adelantar acciones relacionadas con la búsqueda.</t>
  </si>
  <si>
    <t xml:space="preserve">LOGROS:
- El seguimiento a la encuesta de satisfacción y la incorporación progresiva de este instrumento en las respuestas fortalecen la cultura de mejora continua y la medición de la percepción ciudadana, con resultados iniciales positivos en la recomendación del servicio.
DIFICULTADES:
- El vencimiento de términos aún cuando se hacen alertas afecta la percepción de la ciudadanía hacia la entidad. </t>
  </si>
  <si>
    <t>L5-GAD-003</t>
  </si>
  <si>
    <t>Porcentaje de avance en la implementación del Modelo de accesibilidad, apoyos y ajustes razonables</t>
  </si>
  <si>
    <t>Realizar el seguimiento al avance del plan de trabajo para la implementación del modelo de accesibilidad, apoyos y ajustes razonables para la implementación en la UBPD.</t>
  </si>
  <si>
    <t>(Avance del periodo/ avance proyectado)*100</t>
  </si>
  <si>
    <t>Avance proyectado</t>
  </si>
  <si>
    <t>Línea 6. Soporte para la búsqueda</t>
  </si>
  <si>
    <t>R6. La gestión institucional y territorial es ágil, eficiente y coordinada en la prestación de servicios de búsqueda de personas dadas por desaparecidas</t>
  </si>
  <si>
    <t>Subdirección de Gestión Administrativa</t>
  </si>
  <si>
    <t>SGA - Subdirección de Gestión Administrativa</t>
  </si>
  <si>
    <t>L6-GAD-001</t>
  </si>
  <si>
    <t>Segumiento ejecución Logística</t>
  </si>
  <si>
    <r>
      <rPr>
        <sz val="10"/>
        <color theme="1"/>
        <rFont val="Arial"/>
      </rPr>
      <t xml:space="preserve">Realizar el seguimiento a la ejecución física y presupuestal de las acciones logísticas que soportan el desarrollo de las acciones de la Entidad a nivel general y según tipologia de la actividad y dependencia.
</t>
    </r>
    <r>
      <rPr>
        <sz val="9"/>
        <color theme="1"/>
        <rFont val="Calibri"/>
      </rPr>
      <t>Nota: Los valores reportados a mes vencido pueden cambiar hasta tanto se legalicen y facturen los eventos</t>
    </r>
  </si>
  <si>
    <t>No. de eventos realizados por la dependencia i para la tipologia j en el periodo t</t>
  </si>
  <si>
    <t>No. de eventos programados por la dependencia i para la tipologia j en el periodo t</t>
  </si>
  <si>
    <t>Monto ejecutado por la dependencia i para la tipologia j en el periodo t</t>
  </si>
  <si>
    <t>Monto solicitado por la dependencia i para la tipologia j en el periodo t</t>
  </si>
  <si>
    <t>En el reporte se da cuenta de dos formulas una para la ejecución física y otr para la ejecución financiera ¿Serían dos fichas ?</t>
  </si>
  <si>
    <t>L6-GAD-002</t>
  </si>
  <si>
    <t>Reembolsos</t>
  </si>
  <si>
    <t>Determinar los valores y cantidades entregados en reembolsos de transporte, alimentación/alojamiento en el marco de las actividades y/o eventos</t>
  </si>
  <si>
    <t>V1+V2+V4</t>
  </si>
  <si>
    <t>Monto entregado por reembolsos por transporte durante el periodo t</t>
  </si>
  <si>
    <t>Monto entregado por reembolsos por alimentación durante el periodo t</t>
  </si>
  <si>
    <t>Monto entregado por reembolsos por alojamiento durante el periodo t</t>
  </si>
  <si>
    <t>ENERO: En enero, al ser el primer mes del año, los reembolsos reflejan el inicio de la ejecución de actividades. La mayor proporción del monto se concentró en transporte y alimentación, lo que indica que las acciones realizadas requirieron principalmente desplazamientos y apoyos básicos. El número de personas beneficiadas corresponde al arranque operativo del periodo. Por su parte, los reembolsos por alojamiento tuvieron una menor participación, lo que sugiere que las actividades con necesidad de pernoctación fueron menos frecuentes.
FEBRERO: En febrero, se observa un incremento en los reembolsos en comparación con enero. Este crecimiento se evidencia tanto en los montos entregados como en el número de personas beneficiadas, especialmente en transporte. Asimismo, los reembolsos por alimentación y alojamiento aumentaron, lo que refleja una mayor ejecución de actividades que implicaron desplazamientos más frecuentes y estancias más prolongadas. En conjunto, este comportamiento evidencia una intensificación de la operación durante el mes.</t>
  </si>
  <si>
    <t>ENERO y FEBRERO: El proceso de reembolsos fue eficiente y económico, garantizando la participación de los beneficiarios en las actividades, eliminando costos de intermediarios cuando se contrata directamente el servicio de alojamiento, alimentación y transporte con proveedores de la zona. Sin embargo, el proceso de revisión y legalización de los documentos fue dispendioso, ya que se requería una atención detallada para verificar que los formatos estuvieran debidamente diligenciados y presentados. Esto generó retrasos en la validación de algunos pagos a los beneficiarios, ya que en ocasiones los participantes no entregaron la documentación correcta, lo cual implicó un esfuerzo adicional para corregir y asegurar la entrega adecuada de los recursos.</t>
  </si>
  <si>
    <t>Se requiere fortalezar el proceso de estimación de recursos por reembolsos apartir de tarifas o tablas estandar que puedan implementarse a nivel Nacional, de  tal manera que los cálculos realizados por los GITT sea acorde con la realidad del mercado y se mantengan uniformes en todo el pais.
Es de aclarar que los valores aquí consignados corresponden a ejecución física, razón por la cuál están sujetos a posibles variaciones hasta tanto se legalicen y facturen los correspondientes eventos</t>
  </si>
  <si>
    <t xml:space="preserve">
MARZO: En marzo, los reembolsos continúan en aumento frente a febrero, alcanzando el valor más alto del periodo. Este comportamiento se refleja principalmente en transporte, que sigue concentrando la mayor proporción del monto, seguido de alimentación. Aunque el número de personas beneficiadas presenta una leve disminución respecto al mes anterior, se mantiene en niveles altos, lo que evidencia una ejecución sostenida de las actividades. Por su parte, los reembolsos por alojamiento se mantienen estables, lo que sugiere que no hubo un incremento significativo en actividades que requirieran pernoctación. En conjunto, el mes muestra una operación consolidada, con altos niveles de ejecución y estabilidad en la dinámica de intervención.</t>
  </si>
  <si>
    <t xml:space="preserve">
MARZO: El proceso de reembolsos se mantuvo eficiente y económico, garantizando la participación de los beneficiarios y la optimización de recursos mediante la contratación directa de servicios con proveedores locales. No obstante, durante este mes se evidenció que la revisión de rutas resultó dispendiosa, ya que requiere un análisis detallado para validar trayectos, coherencia de desplazamientos y soportes asociados. Esta situación implicó mayores tiempos en el proceso de verificación y ajuste de la información, generando una carga operativa adicional para asegurar la correcta liquidación de los reembolsos.</t>
  </si>
  <si>
    <t>ABRIL: En abril, los reembolsos presentan una disminución frente a marzo, evidenciando una reducción en el valor total ejecutado durante el periodo. Este comportamiento se refleja principalmente en transporte, que continúa concentrando la mayor proporción del monto, seguido de alimentación. El número de personas beneficiadas también disminuye respecto al mes anterior, lo que sugiere una menor intensidad en la ejecución de actividades. Por su parte, los reembolsos por alojamiento muestran una reducción, indicando una menor realización de actividades que requirieran pernoctación. En conjunto, el mes refleja una desaceleración en la operación, aunque se mantiene la estructura en la distribución de los rubros.</t>
  </si>
  <si>
    <t>ABRIL: El proceso de reembolsos se mantuvo eficiente y orientado a la optimización de recursos, garantizando la participación de los beneficiarios mediante la contratación directa de servicios con proveedores locales. Sin embargo, durante este mes se evidenció una menor dinámica operativa en comparación con marzo, reflejada en la disminución tanto del monto ejecutado como del número de personas atendidas. Asimismo, la revisión de rutas continuó siendo una actividad dispendiosa, dado que exige un análisis detallado para validar trayectos, coherencia de desplazamientos y soportes asociados, lo que implicó tiempos adicionales en la verificación y ajuste de la información. En consecuencia, se mantuvo una carga operativa significativa para asegurar la correcta liquidación de los reembolsos, aunque con una menor intensidad en la ejecución de actividades</t>
  </si>
  <si>
    <t>L6-GAD-003</t>
  </si>
  <si>
    <t>Sostenimiento Sedes</t>
  </si>
  <si>
    <t>Determinar  el monto de los servicios asociados al sostenimiento de las sedes</t>
  </si>
  <si>
    <t>Monto pagado por el arriendo en la sede</t>
  </si>
  <si>
    <t>Monto pagado por servicios públicos en la sede i en el periodo t</t>
  </si>
  <si>
    <t>Monto pagado por planes móviles de telefonía en la sede i en el periodo t</t>
  </si>
  <si>
    <t>Monto pagado por servicio de aseo y cafeteria en la sede i en el periodo t</t>
  </si>
  <si>
    <t>Monto pagado por servicio de vigilancia en la sede i en el periodo t</t>
  </si>
  <si>
    <t>ENERO: Durante este periodo se gestionó el trámite de pago correspondiente a la facturación del canon de arrendamiento de las 28 sedes territoriales y 1 sede central, garantizando la continuidad en la operación y la adecuada prestación de los servicios.
FEBRERO: Durante este periodo se dio continuidad a la gestión del trámite de pago de la facturación del canon de arrendamiento de las 28 sedes territoriales y 1 sede central, garantizando el cumplimiento de las obligaciones contractuales.
2 Y 3. SERVICIOS PÚBLICOS Y TELEFONÍA
ENERO: Durante el periodo se realiza el trámite para el pago de 77 facturas de servicios, garantizando el funcionamiento de las diferentes sedes territoriales a nivel nacional.
Asimismo, durante el mismo periodo se gestiona el pago del servicio de telefonía a la empresa Comcel, correspondiente al periodo en curso.
FEBRERO: Durante el periodo se realiza el trámite para el pago de 72 facturas de servicios, garantizando el funcionamiento de las diferentes sedes territoriales a nivel nacional.
4. ASEO Y CAFETERÍA
ENERO: El monto pagado por servicio de aseo y cafeteria fue de $ 182.620.822,52 para las 20 OC de compra de aseo y cafetería, lo anterior corresponde a una prestación de servicio ininterripida a nivel nacional, que permito cubrir las necesidades mensuales identificadas por cada una de las zonas donde la UBPD tiene presencia.
FEBRERO: El monto pagado por servicio de aseo y cafeteria fue de $ 187.928.645,98  para las 20 OC de compra de aseo y cafetería, lo anterior corresponde a una prestación de servicio ininterripida a nivel nacional, que permito cubrir las necesidades mensuales identificadas por cada una de las zonas donde la UBPD tiene presencia</t>
  </si>
  <si>
    <t>ENERO: Durante el periodo se realiza el trámite para el pago de 77 facturas de servicios, garantizando el funcionamiento de las diferentes sedes territoriales a nivel nacional.
Asimismo, durante el mismo periodo se gestiona el pago del servicio de telefonía a la empresa Comcel, correspondiente al periodo en curso.
FEBRERO: Durante el periodo se realiza el trámite para el pago de 72 facturas de servicios, garantizando el funcionamiento de las diferentes sedes territoriales a nivel nacional.
Asimismo, durante el mismo periodo se gestiona el pago del servicio de telefonía a la empresa Comcel, correspondie2nte al periodo en curso.
1. ARRENDAMIENTO SEDES
ENERO: Durante el mes  se logró mantener la operación de la totalidad de las sedes territoriales, garantizando la continuidad en la prestación de los servicios.
FEBRERO: Durante el mes  se logró mantener la operación de la totalidad de las sedes territoriales, garantizando la continuidad en la prestación de los servicios. 
DIFICULTADES: Durante el periodo reportado, el contrato CIAFI No. 716 se encuentra en proceso de presunto incumplimiento, el cual ha sido gestionado de manera oportuna por la supervisión ante la Secretaría General, en cumplimiento de la normatividad vigente.
MARZO: Durante el mes  se logró mantener la operación de la totalidad de las sedes territoriales, garantizando la continuidad en la prestación de los servicios. 
DIFICULTADES: Durante el periodo reportado, el contrato CIAFI No. 716 se encuentra en proceso de presunto incumplimiento, el cual ha sido gestionado de manera oportuna por la supervisión ante la Secretaría General, en cumplimiento de la normatividad vigente.
ABRIL: Durante el mes  se logró mantener la operación de la totalidad de las sedes territoriales, garantizando la continuidad en la prestación de los servicios. 
DIFICULTADES: Durante el periodo reportado, el contrato CIAFI No. 716 se encuentra en proceso de presunto incumplimiento, el cual ha sido gestionado de manera oportuna por la supervisión ante la Secretaría General, en cumplimiento de la normatividad vigente 
5. SEGURIDAD Y VIGILANCIA
ENERO:
Logros: En el mes de enero se logró realizar modificación del contrato 433 de 2025,con una adición y prórroga, hasta el 31 de mayo de 2026, tiempo durante el cual se efectuará el proceso de publicación para el nuevo contrato.   Se recibe la subsanación de las novedades que se habían presentado en el 2025, para las sedes de Centro de abordaje Medellín e Ibagué. Desde el Centro de Monitoreo del Nivel Central se implementaron las configuraciones y el software necesarios para la gestión, uso y validación de la información proveniente de los sistemas biométricos.
Finalmente, se cuenta con la licencia habilitada para el software de descarga y administración de datos biométricos, lo que garantiza la operatividad y trazabilidad de la información a nivel central, con el apoyo de la OTIC se obtiene la visualización del CCTV de los Centros de abordaje de Medellín y Bucaramanga.
Dificultades. Se evidencian diversas dificultades en relación con los medios tecnológicos de seguridad, asociadas a la necesidad de revisión, mantenimiento y reposición de algunos sistemas y equipos. En particular, se identifican fallas en dispositivos biométricos que requieren actualización o cambio para garantizar su adecuado funcionamiento. Fue necesaria la sustitución de las UPS, para garantizar la capacidad necesaria pactada en el anexo técnico de 3KVA. 
FEBRERO: Se garantiza la capacidad de retención de tiempos de grabación de 90 días, adicionando discos duros de 8 TB en cada una de las sedes.  Se logra la reducción de los tiempos de atención en las novedades de seguridad electrónica. Se adelante la sistematización del proceso de autorizaciones de acceso  para visitantes y servidores.
MARZO:
Logros: Se adelantan las actividades correspondientes a la etapa precontractual del nuevo proceso, garantizando que la ficha técnica, el método de cotización y los anexos técnicos se ajusten de manera precisa a las necesidades actuales de la entidad. En este sentido, se avanza en la estructuración integral del proceso contractual, con proyección de inicio del nuevo contrato para el mes de junio.   Se ha garantizado la recolección, depuración y actualización permanente de la base de datos de servidores y contratistas a nivel nacional, asociada a los sistemas de biometría y alarmas. Este proceso incluye la validación de identidades, la parametrización de perfiles y niveles de acceso, así como la sincronización oportuna de la información en todas las sedes.
Lo anterior permite fortalecer los controles de ingreso, mejorar la trazabilidad de los accesos y reducir la exposición a riesgos asociados a accesos no autorizados, contribuyendo de manera efectiva a la protección integral de las instalaciones, los activos y el personal de la entidad.
Dificultades. En algunas ciudades alternas se presentan fallas recurrentes en la señal de los operadores de internet, lo que genera afectaciones en la comunicación permanente de los sistemas de alarmas y control de acceso. De igual manera, los cortes intempestivos en el suministro de energía eléctrica ocasionan interrupciones ocasionales en el funcionamiento de los sistemas de seguridad electrónica. En este contexto, se hace necesaria la disponibilidad permanente de asistencia técnica por parte del contratista, con el fin de garantizar la continuidad operativa, la oportuna atención de incidentes y el adecuado restablecimiento de los servicios.
ABRIL:
Logros: Se adelantó y publicó el proceso de vigilancia para la nueva contratatación que inicia en Junio. En este sentido, se avanza en la respuesta a observaciones del proceso contractual. Se ha continuado con la recolección, depuración y actualización permanente de la base de datos de servidores y contratistas a nivel nacional, asociada a los sistemas de biometría y alarmas. Este proceso incluye la validación de identidades, la parametrización de perfiles y niveles de acceso, así como la sincronización oportuna de la información en todas las sedes.
Lo anterior permite fortalecer los controles de ingreso, mejorar la trazabilidad de los accesos y reducir la exposición a riesgos asociados a accesos no autorizados, contribuyendo de manera efectiva a la protección integral de las instalaciones, los activos y el personal de la entidad.
Dificultades. Se ha presentado un inconveniente en la recolección de material de grabación, originado por fallas en los discos de almacenamiento. Esta situación resulta en un retraso en el proceso de entrega y reporte de la información y material fílmico. Para mitigar el impacto, el contratista prestador del servicio debe gestionar la recuperación de la información afectada a través de entidades especializadas.</t>
  </si>
  <si>
    <t>MARZO: Durante el mes  se logró mantener la operación de la totalidad de las sedes territoriales, garantizando la continuidad en la prestación de los servicios. 
DIFICULTADES: Durante el periodo reportado, el contrato CIAFI No. 716 se encuentra en proceso de presunto incumplimiento, el cual ha sido gestionado de manera oportuna por la supervisión ante la Secretaría General, en cumplimiento de la normatividad vigente.</t>
  </si>
  <si>
    <t>ABRIL: Durante el mes  se logró mantener la operación de la totalidad de las sedes territoriales, garantizando la continuidad en la prestación de los servicios. 
DIFICULTADES: Durante el periodo reportado, el contrato CIAFI No. 716 se encuentra en proceso de presunto incumplimiento, el cual ha sido gestionado de manera oportuna por la supervisión ante la Secretaría General, en cumplimiento de la normatividad vigente.</t>
  </si>
  <si>
    <t>L6-GAD-004</t>
  </si>
  <si>
    <t>Solicitudes de transporte</t>
  </si>
  <si>
    <t>Sumatoria V2</t>
  </si>
  <si>
    <t>Número de solitudes de transporte según tipo i en la sede j durante el periodo t</t>
  </si>
  <si>
    <t>Total número de solicitudes de transporte en la sede j durante el periodo t</t>
  </si>
  <si>
    <t xml:space="preserve">  294,00 </t>
  </si>
  <si>
    <t>ENERO: Muestra una baja actividad generalizada en casi todos los territorios (muchos en 0%), lo cual es consistente con dinámicas de inicio de vigencia. 
FEBRERO: Se observa una activación progresiva de servicios fijos desde febrero en territorios como: Bogotá, Medellín, Cali, Barranquilla</t>
  </si>
  <si>
    <t>ENERO:
Logros: 
• Se garantizó la disponibilidad operativa mínima del servicio en los territorios prioritarios. 
• Algunos territorios activaron servicios fijos estratégicos, asegurando continuidad básica. 
Dificultades: 
Se presentó menos demanda en los servicios por inicio de actividades finalizando el mes.
FEBRERO:
Logros: 
• Incremento significativo en la activación de servicios fijos, evidenciando estabilización operativa.
• Mayor número de territorios con ejecución efectiva del servicio.
• Mejora en la planificación y asignación de vehículos.
Dificultades:
• Persisten territorios con baja utilización del servicio
• Incremento en la demanada de servicios en el territorio de Meta.</t>
  </si>
  <si>
    <t>ENERO: 
Se presentó menor demanda por inicio progresivo de actividades, afectado por: 
• Vacaciones colectivas de la Entidad 
• Reactivación gradual de equipos territoriales 
FEBRERO:
• Se evidencia el inicio real de la operación misional en la mayoría de territorios.
• Los servicios fijos comienzan a consolidarse como base del modelo operativo.
• Los servicios por demanda aún presentan bajo peso relativo.</t>
  </si>
  <si>
    <t>MARZO: Se evidencia consolidación y aumento de servicios:
• Servicios fijos (mayor cobertura) 
• Incremento de solicitudes por demanda en territorio</t>
  </si>
  <si>
    <t>MARZO:
Logros: Incorporar un segundo vehículo fijo para la atención de servicios por demanda en la territorial Meta. 
Dificultades: 
Aumento de servicios por demanda en algunos territorios, lo que puede indicar: 
• Falencias en la estructuración y planeación de las actividades</t>
  </si>
  <si>
    <t>MARZO:
• Los servicios por demanda comienzan a jugar un rol relevante.
• Se identifican territorios con dependencia creciente de servicios adicionales tanto vehículos fijo como servicio multimodal.</t>
  </si>
  <si>
    <t>ABRIL: Se evidencia un incremento de servicios adicionales para los territorios de Bogotá y Antioquia.</t>
  </si>
  <si>
    <t>ABRIL:
Logros: Reducción de costos por servicios adicionales en la territorial Meta.
Culminación de los contratos de transporte de la vigencia 2025, sin ninguna novedad en la prestación del servicio. 
Dicultades: 
•  No se ejecutó la totalidad de los recursos proyectados para la vigencia futura de los contratos que finalizaron el 30 de abril.</t>
  </si>
  <si>
    <t xml:space="preserve">
ABRIL:
• Los servicios por demanda en algunos territorios incrementan las cifras, con relación a los fijos.</t>
  </si>
  <si>
    <t>L6-GAD-005</t>
  </si>
  <si>
    <t>Índice de Siniestralidad</t>
  </si>
  <si>
    <t>Identificar áreas de mejora en la gestión de riesgos y en la suscripción de pólizas, con el objetivo de reducir la siniestralidad mediante la implementación de mejores prácticas.</t>
  </si>
  <si>
    <t>V1/V2*100</t>
  </si>
  <si>
    <t>Monto pagado del siniestro según nivel de ocurrencia i  durante el periodo t</t>
  </si>
  <si>
    <t>Monto prima pagada</t>
  </si>
  <si>
    <t>ENERO: No se registraron siniestros durante el periodo; a la fecha de corte del presente reporte no se han presentado siniestros.
FEBRERO: No se registraron siniestros durante el periodo; a la fecha de corte del presente reporte no se han presentado siniestros.</t>
  </si>
  <si>
    <t>81774856</t>
  </si>
  <si>
    <t>ABRIL:En el mes de abril se reportó el siniestro correspondiente al daño de una carpa plegable, ocurrido durante una comisión en el Cementerio Municipal de La Belleza, Santander. Este evento tuvo lugar en el mes de marzo y actualmente se encuentra en proceso de indemnización,
Así mismo, se presentó la pérdida de un equipo portátil HP durante una comisión en el municipio de Yarumal, correspondiente al GITT Antioquia. Este hecho ocurrió en el mes de abril, con posterioridad a la presentación de este informe.</t>
  </si>
  <si>
    <t>ABRIL:Se mantiene control sobre los casos presentados; no obstante, la ocurrencia de pérdida de equipos durante comisión refleja la necesidad de reforzar las medidas de control y custodia de bienes institucionales en territorio.</t>
  </si>
  <si>
    <t>ABRIL:Los eventos reportados durante el periodo se encuentran en gestión, evidenciándose seguimiento oportuno y control sobre los siniestros presentados. No se identifican patrones recurrentes; sin embargo, se continuará con el monitoreo de los casos hasta su cierre definitivo.</t>
  </si>
  <si>
    <t>L6-GAD-006</t>
  </si>
  <si>
    <t>Siniestros</t>
  </si>
  <si>
    <t>Identificar áreas de mejora en la gestión de riesgos  con el objetivo de reducir la siniestralidad mediante la implementación de mejores prácticas.</t>
  </si>
  <si>
    <t>Número de siniestros según sede i  durante el periodo t</t>
  </si>
  <si>
    <t>Número de siniestros pagados durante el periodo t</t>
  </si>
  <si>
    <t>MARZO: En marzo se presentó un siniestro por daño de una carpa plegable durante una comisión en el cementerio municipal de Bucaramanga,el caso se encuentra en proceso de indemnización, evidenciando gestión activa del evento.</t>
  </si>
  <si>
    <t>MARZO:  Reporte oportuno del siniestro ocurrido-Gestión adecuada del proceso ante la aseguradora.-Activación de la póliza con la Aseguradora Solidaria para la recuperación del bien afectado.</t>
  </si>
  <si>
    <t>MARZO: El siniestro reportado corresponde a un evento puntual ocurrido durante una comisión, actualmente en trámite de indemnización con la Aseguradora Solidaria. No se evidencian recurrencias en el periodo; sin embargo, el caso continúa abierto hasta la resolución definitiva por parte de la aseguradora.</t>
  </si>
  <si>
    <t>SG</t>
  </si>
  <si>
    <t>L6-GAD-007</t>
  </si>
  <si>
    <t>Ejecución contractual</t>
  </si>
  <si>
    <t>Medir el porcentaje de contratación ejecutado por la Secretaria General de acuerdo con las solicitudes de contratación realizadas por todas las dependencias de la UBPD.</t>
  </si>
  <si>
    <t>Número de solicitudes de contratación elevadas por las dependencias</t>
  </si>
  <si>
    <t>Número de contratos suscritos</t>
  </si>
  <si>
    <t>Plan de automatización de procesos administrativos, presupuestales y de contratación pública implementado</t>
  </si>
  <si>
    <t xml:space="preserve">L6-GAD-008 </t>
  </si>
  <si>
    <t>Avance en el plan de automatización</t>
  </si>
  <si>
    <t>Medir el avance del plan de automatización de procesos administrativos, presupuestales y de contratación pública implementado de acuerdo con lo programado para cada período</t>
  </si>
  <si>
    <t>Avance alcanzado</t>
  </si>
  <si>
    <t>Central de costos Fase II</t>
  </si>
  <si>
    <t>L6-GAD-009</t>
  </si>
  <si>
    <t>Implementación Central de costos Fase II</t>
  </si>
  <si>
    <t>Medir el porcentaje de la implementación de la Centra de Costos Fase II</t>
  </si>
  <si>
    <t>L6-GAD-010</t>
  </si>
  <si>
    <t>Seguimiento al proceso disciplinario</t>
  </si>
  <si>
    <t>Medir la gestión de la acción disciplinaria interna de la UBPD</t>
  </si>
  <si>
    <t xml:space="preserve">Número total de procesos aperturados y cerrados </t>
  </si>
  <si>
    <t>Número total de procesos disciplinarios</t>
  </si>
  <si>
    <t>L6-GAD-011</t>
  </si>
  <si>
    <t>Seguimiento del PAA</t>
  </si>
  <si>
    <t>Realizar seguimiento al porcentaje de apropiación del presupuesto de la UBPD de acuerdo a lo programado en el Plan Anual de Adquisiciones.</t>
  </si>
  <si>
    <t>Valor total programado en última versión del Plan Anual de Adquisiciones</t>
  </si>
  <si>
    <t>Valor total de la última apropiación del Presupuesto</t>
  </si>
  <si>
    <t xml:space="preserve">Subdirección de Gestión Financiera		</t>
  </si>
  <si>
    <t>L6-GFI-001</t>
  </si>
  <si>
    <t>Ejecución PAC</t>
  </si>
  <si>
    <t>Realizar el seguimiento a la ejecución del PAC solicitado mes a mes por cada una de las dependencias de la Unidad, con el fin de evitar posibles pérdidas de recursos asignados a través de PAC, teniendo en cuenta que esta situación afecta sustancialmente el indicador de PAC NO UTILIZADO – INPANUT, con el cual el Ministerio de Hacienda y Crédito Público mide el uso eficiente de los recursos públicos y califica la gestión de la entidad en este aspecto</t>
  </si>
  <si>
    <t>Realizar el monitoreo, control y análisis mensual de la ejecución del Programa Anual Mensualizado de Caja (PAC) solicitado por cada una de las dependencias de la Unidad, verificando la adecuada utilización de los recursos asignados y efectuando seguimiento oportuno a los saldos no ejecutados, con el propósito de prevenir posibles pérdidas o rezagos en la ejecución presupuestal. Lo anterior, en cumplimiento de los lineamientos establecidos por el Ministerio de Hacienda y Crédito Público y con el fin de contribuir a la disminución del indicador de PAC No Utilizado – INPANUT, fortaleciendo la eficiencia en el uso de los recursos públicos y la gestión financiera de la entidad.</t>
  </si>
  <si>
    <t>V1 / V2</t>
  </si>
  <si>
    <t>Monto PAC ejecutado por la dependencia i en el periodo t</t>
  </si>
  <si>
    <t>Monto PAC solicitado por la dependencia i en el periodo t</t>
  </si>
  <si>
    <t xml:space="preserve">De acuerdo al indicador consolidado de ejecución del PAC presenta un cumplimiento consolidado del 96,64%, evidenciando una adecuada gestión en la programación y utilización de los recursos asignados por parte de las dependencias de la entidad. Este resultado refleja un comportamiento favorable en la ejecución financiera, manteniéndose cercano al 100%, lo que contribuye positivamente al control del indicador de PAC no utilizado (INPANUT) y demuestra una gestión eficiente de los recursos públicos.
Se observa que varias dependencias alcanzaron niveles de ejecución iguales o superiores al 100%, entre ellas la Dirección General y la Oficina Asesora Jurídica con un cumplimiento exacto del 100%, así como la Secretaría General y la Oficina Asesora de Comunicaciones y Pedagogía, las cuales superaron el PAC programado con ejecuciones del 102,75% y 100,89%, respectivamente.
De igual manera, dependencias como la Subdirección de Gestión Humana (98,02%), la Oficina de Gestión Disciplinaria (98,63%), la Subdirección Técnica Territorial (96,91%), la Subdirección Técnica de Investigación Humanitaria (96,86%), la Subdirección Gestión Financiera (95,85%), la Oficina Asesora de Planeación (95,48%) y la Subdirección Técnica Forense (95,32%) registraron niveles de ejecución satisfactorios, manteniéndose dentro de rangos adecuados frente al PAC programado y evidenciando un uso eficiente y oportuno de los recursos asignados.
No obstante, se identifican algunas dependencias con porcentajes de ejecución inferiores al promedio institucional, especialmente la Oficina Asesora de Control Interno (82,76%) y la Subdirección Gestión Administrativa (89,38%), las cuales presentan mayores niveles de PAC no ejecutado frente a lo programado.
En términos generales, es fundamental que todas las dependencias realicen una adecuada planeación y seguimiento del PAC asignado mensualmente. La inejecución o la ejecución en exceso del PAC pueden generar inconvenientes y malos indicadores para la Entidad ante la Dirección General de Crédito Público y Tesoro Nacional (DGCPTN) del Ministerio de Hacienda y Crédito Público. Cumplir con la normatividad vigente en esta materia es crucial para mantener las finanzas públicas dentro de las metas establecidas por la Nación								</t>
  </si>
  <si>
    <t xml:space="preserve">El logro más importante que tiene la Unidad con corte al 30 de abril de 2026 es que hasta la fecha el PAC que se ha solicitado al MHCP nos lo han aprobado en su totalidad.								</t>
  </si>
  <si>
    <t xml:space="preserve">R6. La gestión institucional y territorial es ágil, eficiente y coordinada en la prestación de servicios de búsqueda de personas dadas por desaparecidas								</t>
  </si>
  <si>
    <t xml:space="preserve">Subdirección de Gestión Financiera </t>
  </si>
  <si>
    <t>L6-GFI-002</t>
  </si>
  <si>
    <t>Ejecución Presupuestal</t>
  </si>
  <si>
    <t>Realizar el seguimiento a la ejecución presupuestal de la entidad</t>
  </si>
  <si>
    <t>Monto obligaciones según rubro i en el periodo t</t>
  </si>
  <si>
    <t>Monto presupuesto apropiado según rubro i en el periodo t</t>
  </si>
  <si>
    <t xml:space="preserve">Monto compromisos de Funcionamiento enero febrero: 24.459.952.197 
Monto compromisos de Inversión enero febrero: 36.676.864.450  
Monto presupuesto apropiado de Funcionamiento enero febrero: 120.018.789.155 
Monto presupuesto apropiado de Inversión enero febrero: 76.273.000.000 </t>
  </si>
  <si>
    <t xml:space="preserve">Monto compromisos de Funcionamiento marzo: 32.629.399.556 
Monto compromisos de Inversión marzo: 42.644.694.610 
Monto presupuesto apropiado de Funcionamiento marzo: 120.018.789.155 
Monto presupuesto apropiado de Inversión marzo: 76.273.000.000 </t>
  </si>
  <si>
    <t xml:space="preserve">Monto compromisos de Funcionamiento abril: 41.460.807.380
Monto compromisos de Inversión abril: 50.073.183.965
Monto presupuesto apropiado de Funcionamiento abril: 120.018.789.155 
Monto presupuesto apropiado de Inversión abril: 76.273.000.000 
Al cierre del mes de abril de 2026, el presupuesto de gastos de funcionamiento, alcanzó una ejecución del 34,5% a nivel de compromisos, equivalente a $41.460.807.380,2. Este comportamiento refleja un uso eficiente y responsable de los recursos destinados al sostenimiento de la operación administrativa y gastos de personal, garantizando la continuidad de los procesos de apoyo y el cumplimiento de los compromisos misionales de la entidad.
Por su parte, los recursos de inversión presentaron una ejecución del 65,6%, correspondiente a $50.073.183.965,36, garantizando de esta manera el uso eficiente y responsable de los recursos en cumplimiento de los objetivos estrategicos y al fortalecimiento de la capacidad institucional.
En conclusión, el comportamiento de la ejecución presupuestal a abril de 2026, logró un 46,6% para el total del presupuesto asignado, reflejando un avance positivo y sostenido, que garantiza una ejecución oportuna de los recursos asignados.                                                                </t>
  </si>
  <si>
    <t>Al 30 de abril de 2026, se logró aumentar el nivel de ejecución presupuestal, incrementando 8,3 puntos porcentuales entre los compromisos del mes de marzo y abril, pasando del 38,3% en el mes de marzo al 46,6% en el mes de abril 2026.
Para los Gastos de Funcionamiento, los compromisos adquiridos corresponden a las necedidades establecidas en el Plan Anual de Adquisiciones, especialmente en los rubros de Servicios Inmobiliarios,con el fin de garantizar  la continuidad de los arrendamientos en las sedes territoriales, así como los contratos para la prestación de servicios de Vigilancia, Aseo y Cafetería, mejoramiento y puesta en correcto funcionamiento del inmueble destinado para el centro integral de abordaje forense e identificación (CIAFI), de igual manera en amparar los gastos de viaticos y gastos de viaje, el servicio de soporte extendido tecnico y funcional del Sistema de Informacion y Gestion del Empleo Publico (SIGEP) y contratos de prestación de servicios, principalmente; compromisos que contribuyen en el proceso de busqueda de personas en el territorial Nacional. 
Para el presupuesto de Inversión, se destacan los principales resultados:
* Consolidación del universo de Personas Dadas por Desaparecidas (PDD): al corte del periodo, el universo asciende a 136.010 PDD, de las cuales 36.731 cuentan con solicitud de búsqueda. En la vigencia 2026 se han incorporado 715 solicitudes nuevas.
* Prospección y recuperación en terreno: desde la creación de la UBPD se han realizado 7.753 prospecciones, de las cuales 546 corresponden a 2026.
* Impulso a la identificación de cuerpos: en articulación con el Instituto Nacional de Medicina Legal y Ciencias Forenses y mediante la aplicación de la metodología de abordaje integral y la Verificación de Correspondencia Post Mortem (VCIPM) en cementerios priorizados, se ha logrado en esta vigencia 2026 la identificación de 70 cuerpos, alcanzando un total de 526 identificaciones entre 2018 y 2026.
* Participación y atención a las familias buscadoras: a través de la Estrategia de Contacto (incluyendo la Ruta Buscadora y la Ruta Fluvial) se han contactado 11.698 personas buscadoras, de las cuales 1,037 corresponden a la vigencia 2026.
* Entregas dignas y hallazgos con vida: en lo corrido del año se han realizado 27 entregas dignas, para un acumulado histórico de 672. Asimismo, se han encontrado 29 personas con vida en 2026, alcanzando un total de 493 desde la creación de la entidad.
* Cobertura territorial: la UBPD mantiene 32 sedes territoriales, de las cuales 6 son Centros Integrales de Abordaje Forense e Identificación de cuerpos (CIAFI), garantizando la presencia y atención efectiva de las familias buscadores en todo el territorio nacional.</t>
  </si>
  <si>
    <t>OAJ</t>
  </si>
  <si>
    <t>L6-GJU-001</t>
  </si>
  <si>
    <t>Espacios representación judicial</t>
  </si>
  <si>
    <t>Determinar los espacios de representación judicial y extrajudicial asesorados por la Oficina Asesora Jurídica, derivados de acciones del cumplimiento de la misión humanitaria y extrajudicial de la UBPD</t>
  </si>
  <si>
    <t xml:space="preserve">Número de espacios de representación judicial asesorados por la OAJ </t>
  </si>
  <si>
    <t xml:space="preserve">Número de espacios de representación extrajudicial asesorados por la OAJ </t>
  </si>
  <si>
    <t>L6-GJU-002</t>
  </si>
  <si>
    <t>Acciones constitucionales tramitadas</t>
  </si>
  <si>
    <t>Determinar las acciones constitucionales tramitadas por la Oficina Asesora Jurídica, derivadas del cumplimiento de la misión humanitaria y extrajudicial de la UBPD</t>
  </si>
  <si>
    <t>Número de acciones constitucionales tramitadas por la OAJ (ACT)</t>
  </si>
  <si>
    <t>Oficina Asesora Jurídica</t>
  </si>
  <si>
    <t>L6-GJU-003</t>
  </si>
  <si>
    <t>Procesos judiciales y extrajudiciales</t>
  </si>
  <si>
    <t>Reporte de los procesos judiciales, de restitución de tierras, acciones de tutela, conciliaciones extrajudiciales, así como la asistencia a audiencias  en los cuales se adelantaron actuaciones por parte de la UBPD.</t>
  </si>
  <si>
    <t>∑= V1t... V3t</t>
  </si>
  <si>
    <t xml:space="preserve">Número de procesos judiciales con actuación por parte de la UBPD </t>
  </si>
  <si>
    <t>Numero de procesos de restutición de tierras con actuación por parte de la UBPD</t>
  </si>
  <si>
    <t>Acciones de Tutela en las que es parte la UBPD: Accionada/Vinculada/Accionante</t>
  </si>
  <si>
    <t>Numero de conciliaciones extrajudiciales ante la Procuraduría General de la Nación</t>
  </si>
  <si>
    <t xml:space="preserve">Asistencia a Audiencias </t>
  </si>
  <si>
    <t>Se reportan los procesos judiciales, acciones de tutela, de restitución de tierras, conciliaciones judiciales y extrajudiciales, así como la asistencia las audiencias en los cuales se adelantaron actuaciones por parte de la UBPD en el periodo objeto de reporte</t>
  </si>
  <si>
    <t>Logros: Toda vez que se  formularon distintas matrices de ( actividades gestión jurídica, medidas cautelares, términos providencias JEP, defensa judicial) para el  seguimiento de estas  temáticas, se cuenta con información actualizada que permite el control al cumplimiento de los términos de respuesta, así como  la revisión del contenido de los documentos que darán contestación a las órdenes o requerimientos de los despachos judiciales (Cortes, Tribunales, Juzgados, Fiscalía, JEP, entre otros) y la preparación de los/as abogados/as para la asistencia a las audiencias.
Adicionalmente la asignación de abogados a cada una de las regiones, ha permitido el control y seguimiento de los compromisos adquiridos por la UBPD en el marco de mesas técnicas, espacios de interlocución con otras entidades y el cumplimiento de las diferentes órdenes emitidas por los distintos operadores judiciales. 
Se contó con los insumos necesarios para la contestación. Las acciones de tutela se lograron radicar dentro del término establecido.</t>
  </si>
  <si>
    <t>No se presentan observaciones.</t>
  </si>
  <si>
    <t>Durante el periodo objeto de reporte no se presentaron novedades. Los insumos fueron remitidos en los términos establecidos y las actuaciones se desarrollaron sin observaciones.</t>
  </si>
  <si>
    <t>Se destaca el cumplimiento oportuno en la remisión de los insumos requeridos, garantizando el adecuado desarrollo de las actuaciones.</t>
  </si>
  <si>
    <t>L6-GJU-004</t>
  </si>
  <si>
    <t>Conciliaciones Judiciales</t>
  </si>
  <si>
    <t>Reportar las conciliaciones judiciales en las cuales la UBPD actua como convocante o convocada</t>
  </si>
  <si>
    <t xml:space="preserve">Número de conciliaciones judiciales en las que la UBPD actua como convocante </t>
  </si>
  <si>
    <t>Número de conciliaciones judiciales en las que la UBPD actua como convocada</t>
  </si>
  <si>
    <t>L6-GJU-005</t>
  </si>
  <si>
    <t>Acompañamiento Jurídico Integral</t>
  </si>
  <si>
    <t>Determinar las acciones de asistencia o apoyo juridico brindado por la Oficina Jurídica a los Grupos Internos de Trabajo  Teritorial, Regional o a las Dependencias del NIvel Central de la UBPD; para la respuesta a lor requerimientos de órdenes judiciales que emite la Jurisdicción Especial para la Paz, diferentes despachos judiciales, solicitudes de concepto, entre otros.</t>
  </si>
  <si>
    <t>Número de respuestas a requerimientos de la JEP apoyadas por la OAJ según nivel j</t>
  </si>
  <si>
    <t>Número de respuestas a requerimientos otros despachos judiciales apoyadas por la OAJ según nivel j</t>
  </si>
  <si>
    <t>Número de respuestas a otros requerimientos o trámites apoyadas por la OAJ según nivel j</t>
  </si>
  <si>
    <t>Número de respuestas a requerimientos de conceptos según nivel j</t>
  </si>
  <si>
    <t>Se reportan las acciones de asistencia o apoyo juridico brindado por la Oficina Jurídica a los Grupos Internos de Trabajo Teritorial, Regional o a las Dependencias del Nivel Central de la UBPD; para la respuesta a los requerimientos u órdenes judiciales que emite la Jurisdicción Especial para la Paz, así como otros despachos judiciales (justicia ordinaria).</t>
  </si>
  <si>
    <t xml:space="preserve">Logros: Se formularon distintas matrices (de actividades gestión jurídica, medidas cautelares, términos providencias JEP, defensa judicial), las cuales han contribuido al seguimiento del cumplimiento de los términos de respuesta, así como a la revisión del contenido de los documentos que darán contestación a los diferentes requerimientos u órdenes judiciales.
Adicionalmente la asignación de abogados a cada una de las regiones, ha permitido el control y seguimiento de los compromisos adquiridos por la UBPD en el marco de mesas técnicas, espacios de interlocución con otras entidades y el cumplimiento de las diferentes órdenes emitidas por los distintos operadores judiciales. 
Dificultades: Las dependencias y los GITT no envían dentro de los términos indicados por la OAJ los insumos para la proyección de las respuestas a las órdenes o requerimientos de las autoridades judiciales. Así mismo, la calidad de la información no siempre cumple con los criterios de completidud, congruencia y solidez de la argumentación técnica. 
Dificultades: Las dependencias y los GITT no envían dentro de los términos indicados por la OAJ los insumos para la proyección de las respuestas a las órdenes o requerimientos de las autoridades judiciales. Así mismo, la calidad de la información no siempre cumple con los criterios de completidud, congruencia y solidez de la argumentación técnica. 
Las dependencias que requieren apoyo de la OAJ envían los documentos objeto sobre el tiempo de vencimiento del término, lo cual limita la posibilidad de la Oficina Asesora Jurídica de realizar observaciones y ajustes al documento en caso de requerirse. </t>
  </si>
  <si>
    <t>Durante el periodo objeto de reporte no se presentaron novedades. Los insumos fueron remitidos en los términos establecidos y las actuaciones se desarrollaron sin observaciones</t>
  </si>
  <si>
    <t>Se destaca el cumplimiento oportuno en la remisión de las respuestas, garantizando la atención adecuada dentro de los términos establecidos.</t>
  </si>
  <si>
    <t>L6-GJU-006</t>
  </si>
  <si>
    <t>Seguimiento a instancias internacionales</t>
  </si>
  <si>
    <t>Realizar seguimiento a las acciones para impulsar las Investigaciones Humanitarias y Extrajudiciales de los casos que se encuentran reportados ante instancias internacionales en el marco de la implementación de la Estrategia para la atención de requerimientos, órdenes y sentencias de organismos (instancias) internacionales liderada por la Oficina Asesora Jurídica.</t>
  </si>
  <si>
    <t>Número de casos ante instancias internacionales que cuentan con reporte de seguimiento por parte de la OAJ ante la instancia durante el periodo</t>
  </si>
  <si>
    <t>Número de casos que se encuentran ante instancias internacionales según instancia i</t>
  </si>
  <si>
    <t>Seguimiento a Casos ante Instancias Internacionales
En el marco del relacionamiento con el Sistema Interamericano de Derechos Humanos, se reportan las acciones de impulso a la Investigación Humanitaria y Extrajudicial (IHE) a través de planes de trabajo específicos.
1. Casos ante la Corte Interamericana de Derechos Humanos (Corte IDH)
Se encuentran bajo conocimiento de la Corte los siguientes 14 casos, los cuales cuentan con plan de trabajo (con las excepciones y notas señaladas):
Caballero Delgado y Santana vs. Colombia.
Vereda La Esperanza vs. Colombia.
Las Palmeras vs. Colombia (Caso cerrado: la Persona Dada por Desaparecida -PDD- fue hallada).
19 Comerciantes vs. Colombia.
Masacre de Mapiripán vs. Colombia.
Masacre de Pueblo Bello vs. Colombia (En proceso de solicitud de desvinculación de la medida).
Rodríguez Vera y otros (Desaparecidos del Palacio de Justicia) vs. Colombia.
Isaza Uribe y otros vs. Colombia.
Movilla Galarcio y otros vs. Colombia.
Integrantes y Militantes de la Unión Patriótica vs. Colombia.
Tabares Toro y otros vs. Colombia.
Guzmán Medina y otros vs. Colombia.
Jhon Ricardo Ubaté y Gloria Bogotá vs. Colombia.
José Milton Cañas y otros vs. Colombia.
2. Casos ante la Comisión Interamericana de Derechos Humanos (CIDH)
Caso No. 11.007: Masacre de Trujillo.
Caso No. 11.100: Familia Ayure Quintero.
Caso No. 11.144: Gerson Jairzinho González Arroyo.
Caso No. 12.636: Edgar Quiroga, Gildardo Fuentes y Victoria Delgado.
Caso No. 13.032: Comunidades del Bajo y Medio Atrato Chocoano y Antioqueño.
Caso No. 13.046: Onofre Antonio de la Hoz Montero.
Caso No. 13.144: Pueblo Indígena Emberá Katío.
Caso No. 13.145: Hernando de Jesús Ocampo Velásquez.
Caso No. 13.780: Hugo Ferney León Londoño.
Caso No. 13.973: Zoilo De Jesús Rojas Ortiz.
Petición P-679-19: Ricardo Manuel Banquet León.
Variable 2
CIDH
26 de enero de 2026: Reunión seguimiento - Caso No. 13.032: Comunidades del Bajo y Medio Atrato Chocoano y Antioqueño.
En la reunión de seguimiento celebrada el 26 de enero de 2026, la UBPD y la Corporación Jurídica Libertad (CJL) revisaron el plan de trabajo para las comunidades del Bajo y Medio Atrato, acordando que la CJL enviará sus observaciones escritas a más tardar el 13 de febrero. Se discutieron los avances y desafíos técnicos en la identificación de nueve cuerpos recuperados en Salaquí, destacando la necesidad de declaraciones extrajuicio para los casos de Alejandro Betancur y Jorge Elies Ramos Algarín ante la falta de documentos de identidad, así como la gestión de muestras de ADN para el caso de Belarmino Chala. Finalmente, se informó que no se hallaron restos óseos de José Jorge Ramos Cocho, por lo que su reparación tendrá un enfoque comunitario y simbólico, y se programaron nuevas sesiones para febrero con el fin de consolidar el cronograma y los avances de identificación.
Mesa de trabajo búsqueda y justicia No. 3 - Acuerdo de Solución Amistosa - Caso No. 14.332, José Antonio Cardona Márquez y familia.
Se enmarca en el Acuerdo de Solución Amistosa por la desaparición de José Antonio Cardona Márquez, analiza un caso asociado al Frente 15 ocurrido el 28 de enero de 1993. José Antonio, un agricultor de 38 años, fue retenido en su finca "Buenavista" por hombres luego de haber colaborado días antes con el Ejército prestando semovientes para el transporte de víveres. Un aportante de información señaló que el lugar de inhumación podría encontrarse en el sector de caño La Gaviota, en la vereda Las Hermosas de La Montañita. 
17 de febrero de 2026: Reunión periódica búsqueda - Caso No. 11.100, Familia Ayure Quintero
El 17 de febrero de 2026, la UBPD, la ANDJE, la Fiscalía y Medicina Legal se reunieron para revisar los avances en la búsqueda de Yaneth Ayure Quintero. Un hallazgo técnico de alta relevancia fue la confirmación, mediante cotejos dactiloscópicos realizados en febrero de 2026, de que la víctima obtuvo una cédula en 2001 bajo el nombre de Claudia Alvaradez Quintero, identidad que ahora guiará nuevas consultas en bases de datos. Respecto a las hipótesis de localización, se descartó preliminarmente a una mujer no identificada asociada a la Operación Sodoma tras análisis biométricos negativos, aunque se mantiene la verificación genética y el rastreo de necropsias indirectas en Mesetas, Meta. Finalmente, se acordó que la UBPD cargará la información actualizada al sistema SIRDEC a la brevedad y la Agencia solicitará al Ministerio del Interior los diagnósticos de cementerios necesarios para fortalecer la investigación territorial.
23 de febrero de 2026: Reunión búsqueda - Caso No. 14.939, Edgardo Surmay Soto, Leandro  José Surmay Terán y Familiares
El 23 de febrero de 2026, la UBPD, la ANDJE, la Fiscalía y Medicina Legal se reunieron para avanzar en el plan de búsqueda de Edgardo Surmay Soto y Leandro José Surmay Terán, en cumplimiento de un Acuerdo de Solución Amistosa. Durante el encuentro, se analizaron las hipótesis de desaparición ocurridas en 1996 en la zona rural de El Copey y Algarrobo, y se revisaron los hallazgos de la Fiscalía en el cementerio alterno de El Copey, donde se han recuperado cuerpos que podrían estar relacionados. Los compromisos principales incluyeron la actualización de información en el sistema SIRDEC, la realización de nuevos acercamientos con la familia para ampliar datos y el requerimiento formal de información a la JEP sobre posibles aportes de comparecientes al caso. Finalmente, se acordó consolidar una propuesta técnica unificada entre todas las entidades para definir la fase de intervención forense y realizar una próxima reunión de seguimiento el 24 de junio de 2026.
25 de febrero de 2026: Reunión Presidente de la Comisión Interamericana de Derechos Humanos
El 25 de febrero de 2026, la Unidad de Búsqueda de Personas dadas por Desaparecidas (UBPD) presentó su balance de gestión y estrategia de cooperación internacional ante la Comisión Interamericana de Derechos Humanos (CIDH). Durante la reunión, se destacó la atención a 109 casos ante la CIDH y el fortalecimiento de la búsqueda humanitaria a través de convenios de asistencia técnica, intercambio de información y difusión de estándares de derechos humanos con la Secretaría General de la OEA
26 de febrero de 2026: Reunión seguimiento - Caso No. 13.032: Comunidades del Bajo y Medio Atrato Chocoano y Antioqueño.
El 26 de febrero de 2026, se realizó una reunión de seguimiento para el Caso No. 13.032, donde se revisó el plan de trabajo interinstitucional y se discutieron estrategias para superar los desafíos de identificación de víctimas en el Bajo y Medio Atrato. Entre los puntos clave destacan el inicio del proceso de identificación de Alejandro Betancur por parte de Medicina Legal el próximo lunes , la necesidad de una mesa técnica para el caso de Belarmino Chalá tras confirmarse la falta de coincidencia genética con su hermano , y la definición de una postura institucional frente al hallazgo del caso del infante José Jorge Ramos Corcho. Finalmente, se acordó una estrategia tripartita con la Registraduría para obtener documentos de identidad esenciales para procesos de indemnización y se proyectó una jornada masiva de entregas dignas para finales del primer trimestre, una vez se completen las revisiones forenses pendientes.
OTROS ESPACIOS
28 de enero de 2026: UBPD y Misión Delegación Vasca a Colombia
El 28 de enero de 2026, la UBPD se reunió con una delegación del Gobierno Vasco, parlamentarios y organizaciones de derechos humanos para fortalecer el apoyo internacional a la búsqueda humanitaria y extrajudicial en Colombia. Durante el encuentro, se resaltó la importancia de brindar garantías a las personas buscadoras, la aplicación de enfoques de género y étnicos, y el reconocimiento a la labor de las mujeres en el proceso. Por su parte, la delegación vasca presentó los hallazgos del Programa NARE de protección a defensores, mientras que la UBPD invitó a la comunidad internacional a sumarse al compromiso de localizar a las más de 135.396 personas desaparecidas por el conflicto armado
Corte IDH.
27 de enero de 2026: Reunión técnica para revisar el mecanismo de intercambio de información - Unión Patriótica (Fiscalía - UBPD)
El 27 de enero de 2026, la UBPD y la Fiscalía General de la Nación sostuvieron una reunión técnica para optimizar el mecanismo de intercambio de información sobre las víctimas de la Unión Patriótica. En el encuentro se definieron protocolos para el cruce de bases de datos y el acceso a expedientes judiciales, con el fin de agilizar la localización de personas desaparecidas y fortalecer el universo de búsqueda.
29 de enero de 2026: Caso UP Casamachín - Vitoncó y Marly Rodríguez ID
En la reunión del 29 de enero de 2026, la UBPD presentó avances significativos en casos de hallazgo con vida, destacando el cierre del caso de Marly Rodríguez López, quien tras ser reportada como desaparecida en 2019, contactó a la entidad en 2025 para solicitar su certificado de supervivencia. Asimismo, se expuso el complejo reencuentro de Luzmari Casamachín, perteneciente al pueblo indígena NASA, con su hermano Dinostorfio y su familia extensa en el Cauca, un logro alcanzado mediante el Plan Regional de Búsqueda Indígena y la articulación entre las territoriales de Meta y Cauca. Durante el espacio, se discutieron los retos técnicos y de seguridad en zonas de conflicto activo, la importancia de los enfoques étnicos y protocolos de armonización, y se aclaró que el uso de muestras biológicas para personas halladas con vida es excepcional, priorizando la evidencia documental y testimonial para agilizar los reencuentros.
03 de febrero de 2026: Caso Vereda la Esperanza
El 3 de febrero de 2026, la UBPD y la Cancillería realizaron una reunión de empalme institucional para el caso de la Vereda La Esperanza, presentando a Adriana Giraldo y Mónica González como las nuevas responsables del proceso por parte de cada entidad. En el encuentro se revisó el plan de trabajo estructurado en investigación, participación de familiares y coordinación interinstitucional, el cual será ajustado para 2026 durante la asamblea con la comunidad programada para el 26 de febrero. Además de definir la logística para dicho evento, las instituciones acordaron fortalecer la articulación con la JEP debido a las investigaciones en sitios de interés forense en Puerto Triunfo y establecieron una reunión técnica previa para el 10 de febrero con el fin de consolidar una presentación estatal unificada junto a la Fiscalía y Medicina Legal
04 y 12 de febrero de 2026: Plan de trabajo Integrantes y Militantes de la Unión Patriótica Vs Colombia
El 4 y el 12 de febrero de 2026, la UBPD, la Agencia Nacional de Defensa Jurídica del Estado (ANDJE), la Fiscalía, Medicina Legal y la JEP se reunieron para consolidar el Plan de Búsqueda de integrantes de la Unión Patriótica, fijando el universo de personas desaparecidas en 521 casos. Durante el encuentro, se aprobaron tres líneas de acción estratégicas: la gestión de información mediante una matriz única y un mecanismo automatizado de intercambio con Medicina Legal; el impulso de la investigación a través de mesas técnicas y el traslado de versiones voluntarias de la JEP; y la participación integral, que incluye la caracterización de personas buscadoras y rutas de acompañamiento psicosocial. Entre los compromisos destacados se encuentran el ajuste del visor de datos con variables técnicas de la Fiscalía, la inclusión de archivos físicos y no sistematizados de Medicina Legal, y el establecimiento del 9 de febrero como fecha límite para la aprobación formal del plan por todas las entidades participantes.
Es de resaltar, que este trabajo interinstitucional fue expuesto a los intervinientes comunes del caso. 
10 de febrero de 2026: REUNIÓN INTERINSTITUCIONAL ASAMBLEA CASO VEREDA LA ESPERANZA
El 10 de febrero de 2026, se llevó a cabo una reunión interinstitucional con el fin de avanzar en los preparativos de la asamblea del caso Vereda La Esperanza, programada para el próximo 26 de febrero. Durante el espacio, se definieron compromisos clave para asegurar una respuesta estatal coordinada, incluyendo la confirmación oficial de la logística ante la Cancillería por parte de la OAJ y el envío de los insumos técnicos (diapositivas) a la Fiscalía por parte de los equipos territoriales. Asimismo, se solicitó la elaboración de una propuesta de agenda detallada para el evento, buscando consolidar la metodología de "equipo único" entre la UBPD, la Fiscalía y Medicina Legal para presentar los avances de búsqueda y participación a las víctimas y sus representantes.
16 de febrero de 2026: Intervención Cementerio Puerto Boyacá - Familiares Faustino López
El 16 de febrero de 2026, la UBPD se reunió con los familiares de Faustino López para informar sobre los avances en la intervención del cementerio de Puerto Boyacá, sitio donde ya se han recuperado más de siete cuerpos bajo una metodología de orientación genética. En el encuentro se destacó la importancia de articular este caso con el de Miguel Ángel debido a su contexto compartido con la Unión Patriótica. Como compromisos principales, la Oficina Asesora Jurídica oficiará a la Fiscalía para clarificar intervenciones realizadas hace una década en dicho cementerio y se programó una reunión técnica para el 25 de mayo, previa a un nuevo espacio con la familia en junio, con el fin de profundizar en la investigación y la segunda fase de intervención forense.
18 de febrero de 2026:  Construcción interinstitucional metodología de participación UP
El 18 de febrero de 2026, la UBPD, la ANDJE, la Fiscalía, Medicina Legal y la JEP se reunieron para consolidar una estrategia de participación unificada para las víctimas de la Unión Patriótica. El objetivo central fue armonizar las rutas de atención de cada entidad bajo una metodología de "Estado como un solo equipo", evitando la revictimización y garantizando el derecho a la información técnica y psicosocial. Entre los acuerdos principales destacan la construcción de una matriz de seguimiento conjunta que incluya variables sobre el estado de la investigación y la identificación forense, así como la definición de criterios para priorizar el acompañamiento a personas buscadoras en situaciones de vulnerabilidad o edad avanzada. Además, se incorporaron observaciones de la Corporación Reiniciar para asegurar que la participación sea efectiva y respetuosa de las dinámicas territoriales de las víctimas.
23 de febrero de 2026: Reunión Caso Mapiripán
El 23 de febrero de 2026, la UBPD, la ANDJE, la Fiscalía y Medicina Legal celebraron una reunión técnica para ajustar el Plan de Búsqueda del Caso Mapiripán, el cual cuenta con un universo de 48 personas dadas por desaparecidas. Durante el encuentro, se revisó el estado de 16 cuerpos recuperados por la Fiscalía entre 2004 y 2011, identificando que la degradación del ADN en algunos restos y la falta de muestras de referencia de los familiares son los principales obstáculos para la identificación. Entre los compromisos clave se destacan la actualización de la información en el sistema SIRDEC para marzo de 2026, la gestión de nuevas tomas de muestras biológicas y el rastreo documental en archivos del CTI y batallones militares para fortalecer las hipótesis de localización. Finalmente, las entidades acordaron consolidar una metodología de intervención forense unificada y fijaron una reunión de seguimiento para el 25 de junio de 2026 para evaluar los avances en los cotejos genéticos y la recolección de información.
23 de febrero de 2026: Caso Ubaté, Bogotá vs Colombia 
El 23 de febrero de 2026, se llevó a cabo una reunión de seguimiento técnico sobre la intervención del Osario Colectivo Uno en Jamundí, con el fin de avanzar en la búsqueda de John Ricardo Ubaté, Gloria Mireya Bogotá y Jaime Regulo Muñoz. Durante la sesión, el equipo forense de la Unidad de Búsqueda (UBPD) informó el envío de 139 contenedores de estructuras óseas al Instituto Nacional de Medicina Legal, estimando la recepción de resultados procesados para junio o julio de este año. Asimismo, se anunció una transición en el liderazgo territorial del caso para fortalecer la investigación regional, mientras que las familias y organizaciones expresaron su preocupación por el avanzado deterioro del material biológico debido a la humedad y la falta de protocolos claros para la custodia de los restos que permanecen en el cementerio</t>
  </si>
  <si>
    <t>Hallazgos con vida: Se cerró exitosamente el caso de Marly Rodríguez López (reportada en 2019, localizada en 2025) y se logró el reencuentro de Luz Mary Casamachín con su familia en el Cauca.
Identificación por dactiloscopia: En el caso de Yaneth Ayure Quintero, se logró un avance crítico al confirmar que obtuvo una cédula en 2001 bajo otra identidad, lo que abre una nueva línea de búsqueda documental.
Recuperación de cuerpos: Se reportó la recuperación de más de 7 cuerpos en el cementerio de Puerto Boyacá (Caso Faustino López) y el envío de 139 contenedores de estructuras óseas de un osario en Jamundí a Medicina Legal para su procesamiento (Caso Ubaté y Bogotá).
Se fijó un universo de 521 personas desaparecidas de la UP y se establecieron protocolos automatizados de intercambio de información y acceso a expedientes judiciales.
Presentación de un balance ante la CIDH destacando la atención a 109 casos y el fortalecimiento de lazos con la Delegación Vasca para la protección de personas buscadoras.</t>
  </si>
  <si>
    <t>1. Preparación para la Visita de la CIDH y Fortalecimiento Institucional
Se destaca un avance crítico en la gestión ante el Sistema Interamericano, específicamente orientado a la incidencia de la UBPD:
Mesa Técnica de Trabajo (06 de marzo): Se llevó a cabo una reunión clave en el marco del seguimiento de casos del Artículo 51, fundamental para la coordinación de la visita de la Comisión Interamericana de Derechos Humanos (CIDH) programada para el 07 de abril de 2026.
Impulso a la Visibilidad: Estas gestiones aseguran que la CIDH verifique de primera mano la labor de la UBPD, fortaleciendo el respaldo internacional a la búsqueda de personas dadas por desaparecidas.
2. Impulso a Casos Emblemáticos y Atención a Víctimas
En respuesta a las peticiones de acciones concretas y prontas por parte de representantes y víctimas, se reportan hitos en casos de alto impacto:
Caso 19 Comerciantes: El 13 de marzo se realizó una reunión fundamental con familiares para avanzar en el cumplimiento de las medidas dictadas, atendiendo la urgencia de justicia y búsqueda que este caso histórico requiere.
Comunidades del Bajo y Medio Atrato Chocoano y Antioqueño: El 12 de marzo se impulsó el seguimiento del Caso No. 13.032, priorizando la atención en territorios con alta complejidad humanitaria y respondiendo a la necesidad de resultados tangibles en las regiones.
Caso Ubaté vs. Colombia: El 19 de marzo se sostuvo una reunión de seguimiento con representantes y familiares, consolidando la hoja de ruta para este caso ante la Corte IDH.
3. Gestión Cuantitativa del Periodo (Marzo 2026)
El dinamismo de estas acciones se refleja en el Reporte Cuantitativo:
Durante el mes de marzo, se realizaron 8 mesas de trabajo y reuniones (Variable 2), distribuidas equitativamente entre la CIDH (4) y la Corte IDH (4).
Esto demuestra un esfuerzo sostenido por mantener el diálogo técnico y político en ambas instancias del Sistema Interamericano.</t>
  </si>
  <si>
    <t>Variable 1 "Número de casos ante instancias internacionales con plan de trabajo diseñado e implementado."
1. Se consolidó el plan de trabajo para el Caso 14.939 (Edgardo Surmay Soto y otros), mediante una articulación efectiva entre la OAJ y el Grupo Interno de Trabajo Territorial Atlántico. 
2. Se finalizó la actualización del plan de trabajo para el caso Ubaté Bogotá vs. Colombia. Actualmente, este instrumento se encuentra en fase de validación técnica por parte de la Subdirección General Técnica y Territorial, lo que asegura la alineación de la respuesta estatal con los estándares institucionales.
Variable 2 "Número de reuniones y mesas de trabajo atendidas en el marco de los casos ante instancias internacionales."
CIDH
 14 de abril de 2026 Reunión Mesa de Seguimiento Semestral - Caso 13.144 Pueblo Indígena Embera Katío del Alto Sinú
15 de abril de 2026 Reunión preparatoria - Caso C-13.145 Hernán de Jesús Ocampo Velásquez y familia
16 de abril de 2026 Reunión presencial ANDJE/UBPD- Estrategia CIDH
22 de abril de 2026 Mesa de trabajo búsqueda y justicia - Caso C-13.145 Hernando de Jesús Ocampo Velásquez y familia
Corte IDH
17  de abril de 2026 Caballero Delgado y Santana
28 de abril de 2026 REUNION PREPARATORIA CASO VEREDA LA ESPERANZA-MESA TECNICA
Otras instancias
30 de abril de 2026 Reunión Grupo de Trabajo sobre Desapariciones Forzadas o Involuntarias - UBPD</t>
  </si>
  <si>
    <t>Gestión efectiva de mesas técnicas y seguimiento de casos prioritarios ante la CIDH y la Corte IDH.</t>
  </si>
  <si>
    <t>L6-GJU-008</t>
  </si>
  <si>
    <t>Participación en espacios relacionados con casos en instancias internacionales</t>
  </si>
  <si>
    <t>Realizar seguimiento a la asistencia o acompañamiento, por parte de la Oficina Asesora Juridica - OAJ, a espacios (espacios dialógicos y/o de articulación) relacionados con casos que se encuentran  reportados ante instancias internacionales en el marco de la implementación de la Estrategia para la atención de requerimientos, órdenes y sentencias de organismos (instancias) internacionales liderada por dicha oficina</t>
  </si>
  <si>
    <r>
      <rPr>
        <sz val="10"/>
        <color theme="1"/>
        <rFont val="Arial"/>
      </rPr>
      <t xml:space="preserve">Número de espacios en los que se ha participado según instancia i
</t>
    </r>
    <r>
      <rPr>
        <sz val="8"/>
        <color theme="1"/>
        <rFont val="Arial"/>
      </rPr>
      <t>CIDH, Corte IDH y Otras instancias</t>
    </r>
  </si>
  <si>
    <t>Respuestas:
1.Principales avances y logros de la Unidad, durante el primer semestre de 2025 Informe Periódico ante el Consejo Permanente de la Organización de los Estados Americanos 
2. Solicitud de Información. SIDH. Petición P-67-20 Rafael Rojas familia ante la CIDH
3.Respuesta a solicitud de insumos – Implementación de la Resolución 79/173 de la Asamblea General de las Naciones Unidas sobre “Las personas desaparecidas” – Periodo 2024-2026.
4.Caso No. 14.939, Edgardo Surmay Soto, Leandro José Surmay Terán y Familiares.
5.Caso No. 11.100 - Familia Ayure Quintero. No. de Radicado: 202610000716 - Bogotá, 03/02/2026.
6.Respuesta a su solicitud de información bajo radicado No. S-GSORO-26-003158
7.Solicitud de información en el Caso 1 CDH-17-2024 Cañas y otros vs. Colombia ante la Corte IDH.
8. Información entrega de respuesta requerimiento avance procesos y remisión de Nota caso “Masacre Pueblo Bello vs. Colombia”. 
9.Respuesta a solicitud de información avance e Informe Final – Caso No. 12.636, Edgar Quiroga, Gildardo Fuentes y Victoria Delgado Anaya
10. Informe de Fondo No. 335/22 - Caso No. 13.032, Comunidades del Bajo y Medio Atrato Chocoano y Antioqueño.
11. Respuesta solicitud de información, SIDH. Petición P-1007, Luis Alfredo Galvis Agudelo.
12. Respuesta solicitud de información sobre la Petición P-1042-25, Jorge Alberto Álzate Zapata y familia, ante la CIDH.</t>
  </si>
  <si>
    <t>Durante el periodo de marzo, la gestión de la Oficina Asesora Jurídica se centró en la respuesta técnica y el seguimiento de requerimientos internacionales de alta complejidad, priorizando la atención a casos con componentes étnicos y de desaparición forzada.
Respuestas a Requerimientos de Instancias Internacionales:
Se consolidaron y remitieron las respuestas correspondientes a las siguientes 3 solicitudes de información y avance:
Caso No. 11.144 - Gerson Jairzinho González Arroyo: Elaboración de informe técnico detallando las acciones de búsqueda y los avances en la recolección de información para el esclarecimiento de los hechos ante el Sistema Interamericano.
Caso No. 13.077 - Alexander Segundo Muentes García y otros: Respuesta integral al requerimiento de información sobre el estado de la búsqueda y la atención brindada a los núcleos familiares de las víctimas vinculadas a este caso.
Caso No. 13.144 - Pueblo Indígena Embera Katío del Alto Sinú: Gestión y remisión de insumos con enfoque étnico-territorial, respondiendo a la necesidad de informar sobre los procesos de búsqueda diferenciada en territorios de especial protección indígena.</t>
  </si>
  <si>
    <t>Atención Especializada: Se destaca el impulso técnico al caso del Pueblo Embera Katío, asegurando que la UBPD responda con los estándares internacionales de enfoque diferencial para comunidades indígenas.
Oportunidad en la Respuesta: Cumplimiento oportuno de la totalidad de las solicitudes (3 casos).</t>
  </si>
  <si>
    <t>1. Solicitud de Información. SIDH. Petición P-3058-19 Félix Antonio Vélez Vélez y familia.
2. Remisión Solicitud e Informe de Admisibilidad y Fondo 39/24 - Caso 13.160 Henry Wilson Roa
3. Solicitud de Información - Caso No. 11.007, Masacre de Trujillo
4. Respuesta  a la solicitud de contribuciones voluntarias realizada por el Grupo de Trabajo sobre las Desapariciones Forzadas o Involuntarias para la preparación de un estudio sobre las desapariciones forzadas y la memorialización en el marco de su 135º período de sesiones.
5. Respuesta seguimiento a la sentencia del Caso Ubaté y Bogotá Vs.Colombia.
6.Observaciones de la UBPD al 40° Informe de la MAPP/OEA: Autonomíainstitucional y actualización de cifras</t>
  </si>
  <si>
    <t>Atención y respuesta al 100% de los requerimientos internacionales dentro de los términos legales, garantizando la seguridad jurídica de la entidad.</t>
  </si>
  <si>
    <t>Requerimientos que ingresan de instancias internacionales</t>
  </si>
  <si>
    <t>Realizar seguimiento a los requerimientos (peticiones, PQRS y solicitudes) que ingresan a la UBPD procedentes de instancias u organismos internacionales (incluye las derivaciones por competencia remitidas por otras entidades) en el marco de la implementación de la Estrategia para la atención de requerimientos, órdenes y sentencias de organismos (instancias) internacionales liderada por la Oficina Asesora Jurídica.</t>
  </si>
  <si>
    <r>
      <rPr>
        <sz val="10"/>
        <color theme="1"/>
        <rFont val="Arial"/>
      </rPr>
      <t xml:space="preserve">Número de requerimientos que ingresan a la UBPD provenientes de instancias internacionales según instancia i
</t>
    </r>
    <r>
      <rPr>
        <sz val="8"/>
        <color theme="1"/>
        <rFont val="Arial"/>
      </rPr>
      <t>ANDJE, Cancillería, Otras Instancias</t>
    </r>
  </si>
  <si>
    <t>L6-GJU-010</t>
  </si>
  <si>
    <t>Trámite Solicitudes de Acceso a Lugares</t>
  </si>
  <si>
    <t>Realizar seguimiento a la expedición de los actos administrativos de autoirzación de acceso y protección de lugares de interes forense, por parte de la Oficina Asesora Juridica como parte de las acciones de apoyo y acompañamiento en la proyección, trámite y expedición de las autorizaciones de acceso y protección de lugares donde se tenga conocimiento de la presunta ubicación de los cuerpos de las personas dadas por desaparecidas, en los términos de lo dispuesto en los artículos 6, 7 y 8.1 del Decreto Ley 589 de 2017.</t>
  </si>
  <si>
    <t xml:space="preserve">Número de Actos administrativos de autorización acceso y protección a lugares de interes forense según regionla i </t>
  </si>
  <si>
    <t>Número de solictudes de proyección, trámite y expedición de las autorizaciones de acceso y protección de lugares según regional i</t>
  </si>
  <si>
    <t xml:space="preserve">Para la vigencia 2025 se tramitanron 16 hallazgos fortuitos con los departamentos de Cauca, Arauca, Tolima, Valle del Cauca, Antioquia, Atlántico, Córdoba, Santander Sucre, Magdalena, Eje Cafetero y Norte de Santander. 3 Autorización en la Estrategia de Búsqueda Inversa. 1 autorización para la toma de muestra a familiar fallecido. 
Para el mes de febrero de 2026 se tramitaron 2 hallazgos fortuitos en los departamentos de Sucre y Arauca. 3 autorizaciones para toma de muestras de familiar fallecido en los departamentos de Cauca, Antioquia y Bogotá. </t>
  </si>
  <si>
    <t xml:space="preserve">Para la vigencia 2025, se logró consolidar la comunicación entre el equipo de abogados asignados por regional y los GITT a fin de solventar inquietudes, apoyar en el trámite de acceso a lugares y garantizar que los doctmentos técnicos que sustentan las autorizaciones cuenten con la información para la debida sustentación. 
Se mantuvo la dinámica de realizar alcances a autorizaciones en Cementerios, en razón a la falta de caracterización o alcances por información en el marco de las misiones humanitarias de prospección y recuperación. 
Recuperación de cuerpos sin hipótesis de identidad.
Para el 2026 se mantiene la interlocución contante entre el equipo de abogados que apoyan las regionales y los GITT. </t>
  </si>
  <si>
    <t xml:space="preserve">Cambió el código del indicador.  Se ajustó en el listado maestro el código del indicador para que coincidiera con la ficha reportada </t>
  </si>
  <si>
    <t>Durante el mes de marzo, las solicitudes de acceso a lugares se realizaron acorde con la Guía Orientadora de Acceso a Lugares. Se apoyó en la proyección de tres (3) memorandos para autorización a recuperación de estructuras óseas expuestas con los GITT Cauca, Caldas y Bogotá/Cundinamarca. 
Se proyectaron trece (13) alcances a autorizaciones en Cementerios y sitios a campo abierto, a fin de incluir nuevos sittios de interés forense.</t>
  </si>
  <si>
    <t>Se conserva la comunicación constante entre el equipo de la Oficina Asesora Jurírica y los Grupos Internos de Trabajo Territorial y Regional.
Se fortaleció la articulación con Secretaria General para la compensación de afectaciones por la realización de las acciones humanitarias y extrajudiciales de prospección y posible recuperación de cuerpos. 
Se consolidó la ruta para las autorización de acceso a lugares considerados de oportunidad y atención inmediata, entre las Subdirecciones Técnicas, la OAJ y los GITT.</t>
  </si>
  <si>
    <t xml:space="preserve">Durante el mes de abril, las solicitudes de acceso a lugares se realizaron acorde con la Guía Orientadora de Acceso a Lugares. Se apoyó en la proyección de cuatro (4) memorandos para autorización a recuperación de estructuras óseas expuestas con los GITT Cesar, Risaralda, Urabá Región y Nariño. 
Se proyectó un (1) alcance a autorización en sitio a campo abierto, a fin de incluir nuevos sittios de interés forense. </t>
  </si>
  <si>
    <t xml:space="preserve">
Se conserva la comunicación constante entre el equipo de la Oficina Asesora Jurírica y los Grupos Internos de Trabajo Territorial y Regional.
Se fortaleció la articulación con Secretaria General para la compensación de afectaciones por la realización de las acciones humanitarias y extrajudiciales de prospección y posible recuperación de cuerpos. 
Se consolidó la ruta para las autorización de acceso a lugares considerados de oportunidad y atención inmediata, entre las Subdirecciones Técnicas, la OAJ y los GITT.</t>
  </si>
  <si>
    <t>Conceptos Jurídicos</t>
  </si>
  <si>
    <t>Reporte de los conceptos jurídicos expedidos por la Oficina Asesora Jurídica.</t>
  </si>
  <si>
    <t>Número de conceptos expedidos en el periodo objeto de reporte</t>
  </si>
  <si>
    <t>Se reporta los conceptos jurídicos expedidos por la Oficina Asesora Jurídica a solicitud de la Dirección General, los Grupos Internos de Trabajo Territorial o Regional, y las dependencias administrativas o misionales.</t>
  </si>
  <si>
    <t>Logros: En los conceptos se abordan temáticas que pueden servir como elemento orientador para el desarrollo de las distintas funciones de la Entidad y pueden ser de aplicación transversal.</t>
  </si>
  <si>
    <t>Durante el periodo objeto de reporte no se registró la expedición de conceptos por parte de la Oficina Asesora Jurídica, razón por la cual no se evidencian variaciones en el comportamiento del indicador asociado.</t>
  </si>
  <si>
    <t>En el periodo reportado no se presentaron logros ni dificultades relacionadas con la expedición de conceptos, dado que no se emitieron pronunciamientos de esta naturaleza.</t>
  </si>
  <si>
    <t xml:space="preserve">Se ajusta en el Listado maestro de indicadores el código del indicador, de tal manera que concuerde con la ficha del iondicador </t>
  </si>
  <si>
    <t>Plan Anual de auditorias y seguimientos - PAAS, elaborado y ejecutado</t>
  </si>
  <si>
    <t>Oficina Asesora de Control Interno</t>
  </si>
  <si>
    <t>L6-SEC-001</t>
  </si>
  <si>
    <t xml:space="preserve">Plan Anual de auditorias y seguimientos - PAAS, elaborado y ejecutado                                   </t>
  </si>
  <si>
    <t>Medir el nivel de ejecución de las actividades programadas en el Plan Anual de Auditorías y Seguimientos (PAAS) durante la vigencia 2026.</t>
  </si>
  <si>
    <t xml:space="preserve">La Oficina Asesora de Control Interno ejecuta mensualmente las actividades programadas en el PAAS 2026 (hoja de ruta). En este documento se definen los compromisos de la vigencia, distribuidos conforme a los diferentes roles de la oficina, tales como auditorías, seguimientos, informes de ley, informes internos, relacionamiento con entes de control, entre otros. </t>
  </si>
  <si>
    <t>Número de actividades del PAAS ejecutadas y/o en ejecución en el periodo</t>
  </si>
  <si>
    <t>Número de actividades programadas en el PAAS en el periodo</t>
  </si>
  <si>
    <t>Dependencias y unidades vinculadas a procesos de auditoría, seguimientos, informes (legales e internos) o que interactuaron con la OACI en el ejercicio de sus funciones.</t>
  </si>
  <si>
    <t xml:space="preserve">1. Priorización, planeación, elaboración y aprobación Plan Anual de Auditorías y Seguimientos 2026 – 2027: 
1.1. Durante enero y febrero la OACI elaboró la matriz de priorización de unidades auditables. Como parte de este proceso, se aplicó la “Encuesta de Priorización de Unidades Auditables - PAAS 2026” al equipo directivo de la entidad. 
1.2. Con base en los resultados obtenidos, se consolidó el PAAS 2026, el cual fue aprobado por el Comité Institucional de Coordinación de Control Interno el 26 de febrero de 2026. 
2. Planeación y desarrollo Comités de Coordinación del Sistema de Control Interno: 
2.1. El 26 de febrero se llevó a cabo el primero Comité Institucional de Coordinación de Control Interno de la vigencia 2026. 
3. Informe Control Interno Contable Anual: 
3.1. En el mes de febrero se realizó Informe Anual de Control Interno Contable de acuerdo con lo establecido en la Resolución 193 de 2016 y el resultado fue transmitido a la Contaduría General de la Nación a través del aplicativo CHIP el 27 de febrero de 2026. 
3.2. El 4 de marzo fue remitido el informe a la Dirección General a través del SIDOBU. 
4. Informe sobre cumplimiento de medidas de austeridad y eficiencia en el gasto público:  
4.1. En el mes de enero se realizó el informe de Austeridad correspondiente al IV Trimestre de la vigencia 2025. 
4.2. El 02 de febrero fue enviado a Dirección General y a los miembros del Comité Institucional de Coordinación de Control Interno el informe.  
5. Certificación semestral sobre el cumplimiento de las obligaciones frente al sistema único de gestión e información litigiosa del estado e-KOGUI. 
5.1. El 02 de febrero de 2026 se envió correo electrónico de “Anuncio de seguimiento y solicitud de información Sistema Único de Gestión e Información Litigiosa del Estado e-KOGUI, segundo semestre 2025.”
5.2. El día 20 de febrero de 2026 se llevó a cabo mesa de trabajo con la Oficina Asesora Jurídica para presentarle los resultados de la certificación emitida por la OACI. El mismo día se remitió el certificado a la Agencia Nacional de Defensa Jurídica del Estado.
5.3. El 27 de febrero de 2026 se envió el Certificado e informe de seguimiento al Sistema Único de Gestión e Información Litigiosa del Estado e-KOGUI, segundo semestre de 2025 al responsable del proceso y a la Dirección General de la UBPD. 
6. Derecho de Autor - Uso software legal:
6.1. El 28 de enero de 2026 se comunicó el inicio de seguimiento. 
6.2. El 06 de febrero de solicitó información al Grupo Interno de Trabajo de Gestión Tecnológica (entregado el 16 de marzo de 2026), a la Subdirección de Gestión Humana (entregado el 12 de febrero de 2026), a la Secretaria General (entregado el 16 de febrero de 2026) y a la Subdirección de Gestión Financiera (entregado el 13 de febrero de 2026);
6.3. El análisis de la información se realizó a partir del 17 de marzo debido a la demora en la entrega la información por parte del Grupo Interno de Trabajo de Gestión Tecnológica. 
6.4. El 18 de marzo de 2026 se hizo entrega del informe a la Jefe de la OACI para revisión y posterior publicación y reporte ante la Dirección Nacional de Derechos de Autor (DNDA) que se llevará a cabo el 20 de marzo de 2026.
7. Evaluación Independiente Sistema Control Interno. 
7.1. El 30 de enero de 2026 se publicó en la página web de la entidad la Matriz de Evaluación Independiente del Sistema de Control Interno. 
7.2. El 06 de febrero de 2026 se remitió a los responsables de procesos el Informe de Evaluación Independiente del SCI mediante SIDOBU.
8. Informe semestral sobre atención de quejas sugerencias y reclamos de la ciudadanía relacionados con la misión – PQRSD. 
8.1. El 29 de enero de 2026 se comunicó el inicio del seguimiento y se solicitó información a la Subdirección Técnica de Participación y Enfoques Diferenciales (entregada el 06 de febrero de 2026)
8.2. El 17 de febrero de 2026 se realiza el análisis inicial de la información entregada (Base de PQRSD).
8.3. Actualmente se encuentra en ejecución el seguimiento (dentro del término del PAAS).    
9. Reporte - Actualización y seguimiento Semestral Plan de Acción MECI a la OAP. 
9.1. El 25 de febrero la OACI envío a la OAP la actualización de su Plan de Acción MECI, de acuerdo con las mesas de trabajo realizadas por todo el equipo de trabajo. 
10. Seguimiento trimestral planes de mejoramiento derivados de auditorías internas. 
10.1. Durante los meses de enero y febrero la OACI realizó seguimiento a los avances de los Planes de Mejoramiento internos al último cuatrimestre de 2025. 
11. Seguimiento e informe avance Planes de Mejoramiento Contraloría General de la República. 
11.1. Correo de seguimiento: recordatorio de acciones con vencimiento a 31/12/2025 (correo del 19/01/2026 solicitud de evidencias de cumplimiento).
11.2. Asistencia a reunión del 26/01/2026 con la SG para revisar acciones de mejora del PM - CGR con vencimiento entre enero y junio de 2026. 
11.3. Correo a la SG con resultados de acciones con vencimiento a 31/12/2025. 
11.4. Correo de seguimiento No. 2: acciones con vencimiento durante febrero de 2026 - planes de mejoramiento AF y AC - 2024.
11.5. Reunión del 12/02/2026 con enlaces de dependencias responsables de acciones del PM CGR para dar pautas desde la OACI en relación con el reporte de avance y evidencias en la matriz de seguimiento al PM.  
11.6. Correo de seguimiento No. 3: acciones con vencimiento durante marzo de 2026 – Plan de Mejoramiento AF y AC - 2024.
12. Informe de seguimiento Mapa de Riesgos de Corrupción. 
12.1. En el mes de enero la OACI realizó el seguimiento al tercer cuatrimestre de 2025 del Mapa de Riesgos de Corrupción, el cual se publicó en la página web de la entidad el 16 de enero (dentro del término de ley). 
12.2. El 19 de enero de 2026 se enviaron los resultados del seguimiento a los responsables de procesos para sus observaciones. 
12.3. En los meses de enero y febrero se elaboró el informe seguimiento al Mapa de Riesgos de Corrupción, correspondiente al tercer cuatrimestre de 2025, que se envió a los responsables de proceso y a la Dirección Nacional el 17 de febrero. 
13. Seguimiento y acompañamiento Rendición de la cuenta e Informe Anual. 
13.1. El 27 de febrero la OACI remitió correo electrónico a la Secretaría General con la observaciones y recomendaciones identificadas en la revisión al reporte de la cuenta anual para retroalimentación de las dependencias responsables. 
14. Seguimiento rendición Informe Mensual Contratos Sireci Modalidad Gestión Contractual – Mensual.  Enero 2026. 
14.1. El 12 de febrero de 2026 la OACI envío la revisión con observaciones y recomendaciones a la Secretaría General. 
14.2. El 13 de febrero la Secretaría General dio respuesta a las observaciones y recomendaciones de la OACI y realizó la transmisión de la cuenta dentro del término establecido por la CGR. 
14.2. El 13 de febrero la OACI realizó la publicación del certificado en la página web. 
15. Seguimiento rendición Informe Mensual Contratos Sireci Modalidad Gestión Contractual – Mensual.  Febrero 2026. 
15.1. El 27 de febrero la OACI envío correo electrónico de recordatorio de la Rendición de la Cuenta CGR - SIRECI Gestión Contractual – FEBRERO 2026.
16. Seguimiento Posconflicto Semestral.
16.1. El formato F69.1: Seguimiento Recursos Presupuesto General de la Nación Posconflicto V.1.1 correspondiente al II Semestre 2025 fue revisado por la OACI en el mes de febrero. 
16.1. El informe fue transmitido por la Secretaría General a través del aplicativo SIRECI el día 9 de febrero de 2026.  
16.2. La OACI realizó la publicación del informe en la página web de la entidad el 09 de febrero. 
17. Seguimiento Rendición SIRECI Modalidad Obras Inconclusas o sin Uso – Mensual. Enero 2026. 
17.1. El 30 de enero se envió a la Secretaría General correo electrónico recordatorio de la Rendición de la Cuenta CGR - SIRECI Obras Civiles Inconclusas o Sin Uso – ENERO 2026.
17.2. El 02 de febrero se radicó y envió a la Secretaría General el oficio de “Rendición de la Cuenta modalidad Obras Civiles inconclusas o sin uso”, fecha de corte 31 de enero de 2026.
17.3. El 13 de febrero la Secretaría General realizó la transmisión del informe dentro del término. 
17.4. El 13 de febrero la OACI realizó la publicación del certificado en la página web. 
18. Seguimiento Rendición SIRECI Modalidad Obras Inconclusas o sin Uso – Mensual. Febrero 2026.
18.1. El 27 de febrero la OACI envío correo electrónico de recordatorio de la Rendición de la Cuenta CGR - SIRECI Obras Civiles Inconclusas o Sin Uso – FEBRERO 2026.
19. Seguimiento Rendición SIRECI Modalidad delitos contra la administración pública o que afecten los intereses patrimoniales del Estado – Semestral. 
19.1. El 09 de enero de 2026 la OACI remitió a la Secretaría General correo electrónico con la verificación del reporte realizado por la Oficina Asesora Jurídica para su correspondiente transmisión. 
19.2. El 09 de enero la Secretaría General realizó la transmisión del informe dentro del término establecido. 
19.3. El 09 de enero la OACI realizó la publicación del certificado en la página web
20. Seguimiento Rendición SIRECI Modalidad Acción de Repetición – Semestral. 
20.1. El 21 de enero de 2026 la OACI remitió a la Secretaría General correo electrónico con la verificación del reporte realizado por la Oficina Asesora Jurídica para su correspondiente transmisión. 
20.2. El 22 de febrero la Secretaría General realizó la transmisión del informe dentro del término establecido. 
20.3. El 22 de enero la OACI realizó la publicación del certificado en la página web
21. Informe Comisión Legal de Cuentas de la Cámara de Representantes para el informe de fenecimiento de la Cuenta General del Presupuesto y del Tesoro. 
21.1. Para el informe de Comisión Legal de cuentas a la OACI le correspondió dar respuesta a tres preguntas requeridas por el Congreso de la República, no obstante, este requerimiento fue recibido en la entidad en el mes de marzo de 2026 (dentro del término definido en el PAAS).
22. Acceso a Fuentes de Información en Tiempo Real a cargo del Grupo Interno de Trabajo de Gestión Tecnológica – Febrero. 
22.1. El 02 de enero la OACI envío correo de Solicitud de acceso a fuentes de información en tiempo real – ENERO de 2026 a la Secretaría General y al Grupo Interno de Trabajo de Gestión Tecnológica. 
22.2. El 13 de febrero el Grupo Interno de Trabajo de Gestión Tecnológica realizó el reporte de la información dentro del aplicativo dispuesto por la CGR. 
</t>
  </si>
  <si>
    <t>Principales Logros: 
*Cumplimiento total (100%) del cronograma de actividades definido en el PAAS-2026 para el primer bimestre (enero-febrero) de 2026.
Principales Dificultades: 
*Retraso en el Informe de Derecho de Autor / Uso de Software Legal: La entrega de insumos técnicos por parte del Grupo Interno de Trabajo de Gestión Tecnológica presentÓ demoras, afectando los tiempos de consolidación.</t>
  </si>
  <si>
    <t>OCI</t>
  </si>
  <si>
    <t>L6-SEC-002</t>
  </si>
  <si>
    <t>Auditorías ejecutadas</t>
  </si>
  <si>
    <t>Medir el cumplimiento de la ejecución de las Auditorías Internas de Gestión aprobadas por el Comité Institucional de Coordinación de Control Interno de la vigencia.</t>
  </si>
  <si>
    <t>Número de auditorías ejecutadas en el periodo t</t>
  </si>
  <si>
    <t>Número de auditorias programadas que han sido aprobadas por el Comité en el periodo t</t>
  </si>
  <si>
    <t>L6-SEC-003</t>
  </si>
  <si>
    <t>Seguimiento Planes de Mejoramiento</t>
  </si>
  <si>
    <t>Medir el cumplimiento de los seguimientos a las acciones de los planes de mejoramiento internos y externos suscritos por las diferentes dependencias en la Oficina de Control Interno.</t>
  </si>
  <si>
    <t>Número de seguimientos a planes de mejoramiento realizados por la OCI en el periodo t</t>
  </si>
  <si>
    <t>Número de seguimientos a planes de mejoramiento programados por la OCI en el periodo t</t>
  </si>
  <si>
    <t>L6-SEC-004</t>
  </si>
  <si>
    <t>Oportunidad Reporte a Organos de Control</t>
  </si>
  <si>
    <t>Medir el diligenciamiento y presentación oportuna del Formulario Único de Reporte y Avance de Gestión FURAG del DAFP.</t>
  </si>
  <si>
    <t>V2-V1</t>
  </si>
  <si>
    <t xml:space="preserve">Fecha en la que se surtió el reporte i </t>
  </si>
  <si>
    <t>Fecha máxima de reporte del i establecida por el organo de control</t>
  </si>
  <si>
    <t>Relación</t>
  </si>
  <si>
    <t xml:space="preserve">L6-P1-SGH-2026 Plan de Fortalecimiento SIBICU													</t>
  </si>
  <si>
    <t>L6-GTH-001</t>
  </si>
  <si>
    <t>Avance implementación Programa Esperanza en Acción</t>
  </si>
  <si>
    <t>Monitorear el avance en la implementación de las actividades contempladas en el marco del programa Esperanza en Acción del Sistema Integral de Bienestar y Cuidado - SIBICU</t>
  </si>
  <si>
    <t>"Programa Esperanza en Acción: programa  diseñado para fomentar la salud física, emocional, laboral y familiar. Se estructura a través de cuatro (4) líneas de acción cada una centrada en la promoción, prevención 
y atención de aspectos específicos que buscan satisfacer las necesidades y expectativas de las y los servidores en el entorno laboral y familiar. 
Sistema Integral de Bienestar y Cuidado-SIBICU: conjunto de intervenciones encaminadas a concretar una estructura funcional que promueva de manera articulada condiciones para los servidores y servidoras y contratistas de la UBPD.
Moviendo-Nos: Línea dirigida a fomentar el bienestar físico de los y las servidoras de la UBPD y los contratistas cuando aplique.
Con-Sentir: Línea que contempla actividades de cuidado, incentivos, gestión de alertas tempranas y apoyo en la información sobre los trámites de la Subdirección de Gestión Humana hacia los diferentes equipos que conforman las dependencias de la entidad. 
Bien-Estar: Línea que incluye las actividades de Briefing &amp; Debriefing en las misiones humanitarias, medición del clima organizacional, los espacios de cierre de gestión.
Saber-Estar: Línea que tiene como propósito brindar beneficios a los/as servidores/as, fortalecer habilidades de liderazgo, cumplir con los beneficios normativos de los que disponen los/as servidores/as</t>
  </si>
  <si>
    <t>Número de actividades implementadas en la línea i del programa en el periodo t</t>
  </si>
  <si>
    <t>Número de actividades programadas en la línea i del programa en el periodo t</t>
  </si>
  <si>
    <t>Durante marzo de 2026 se registraron 28 actividades programadas en el marco del Programa Esperanza en Acción, de las cuales 24 fueron ejecutadas, correspondiente a un cumplimiento del 86%. Este resultado representa una disminución frente a febrero, mes en el que se alcanzó el 95% de ejecución, aunque refleja un avance significativo en el número de actividades y cobertura de líneas.
 Moviéndo-Nos alcanzó el 100% de cumplimiento con 8 actividades realizadas, concentradas en inspecciones de orden, aseo y puestos de trabajo en el nivel central y en los Grupos Internos de Trabajo Regionales Norte-GITR, Nororiente y Sur, complementadas con pausas activas virtuales. Bien-Estar y Saber-Estar también lograron el 100%, con actividades como obra de teatro, pasadías familiares, taller de cocina y articulación de coordinadores del GITR Nororiente. Con-Sentir avanzó significativamente frente a lo reportado inicialmente, alcanzando el 75% de cumplimiento con 12 de 16 actividades ejecutadas; el Equilibrium LAB inició sesiones en los GITR Oriente, Noroccidente, Norte, Nororiente y nivel central, mientras que los acompañamientos grupales llegaron al GITR Centro, GITR Suroccidente, Oficina Asesora de Control Interno, Grupos Internos de Trabajo Territorial -GITT Córdoba y Nariño.</t>
  </si>
  <si>
    <t>Logros: Marzo consolidó la ejecución simultánea de las cuatro líneas del programa por primera vez en el trimestre. Moviéndo-Nos, Bien-Estar y Saber-Estar alcanzaron el 100% de sus actividades programadas. El inicio del Equilibrium LAB en múltiples regionales representa un hito importante para Con-Sentir, ampliando la cobertura de acompañamiento psicosocial estructurado en territorio. Las actividades de Bien-Estar (pasadías, teatro y cocina) tuvieron alta acogida entre los participantes.
Dificultades: Con-Sentir mantiene 4 actividades pendientes, incluyendo sesiones del Equilibrium LAB en nivel central y un acompañamiento grupal en el GITT Putumayo, además de 2 cancelaciones (nivel central y GITT Pacífico Nariñense). Se recomienda priorizar el cierre de estas actividades en abril para evitar acumulación de rezago en la línea.</t>
  </si>
  <si>
    <t>Las actividades canceladas en Con-Sentir corresponden a una sesión del Equilibrium LAB en el nivel central y un acompañamiento grupal en el GITT Pacífico Nariñense. Las 4 actividades pendientes están en proceso de agendamiento y se proyecta su ejecución en los próximos meses.</t>
  </si>
  <si>
    <t>Durante abril de 2026 se registraron 67 actividades programadas en el marco del Programa Esperanza en Acción, de las cuales 52 fueron ejecutadas, correspondiente a un cumplimiento del 77,6%. Este resultado representa una continuidad en lo que se viene desarrollando desde marzo. La línea Competencias y Saberes logró el 80,0% de cumplimiento con 16 actividades realizadas, destacando capacitaciones institucionales en PQRDS, ciberseguridad, SIDOBU e inducción a nuevas/os servidoras/es, así como una capacitación en género y corresponsabilidad dirigida a toda la UBPD. Cuerpo en equilibrio alcanzó el 83,3% con 15 actividades ejecutadas, incluyendo inspecciones de puesto de trabajo en el nivel central y capacitaciones en prevención y protección en GITTs Nariño, Chocó, Risaralda y Caldas. Palabras que acompañan registró el 72,4% de cumplimiento con 21 actividades realizadas, concentradas en acompañamientos grupales integrales en GITTs Cauca, Cesar, Caldas y Subdirección Técnica Forense, entre otras dependencias.</t>
  </si>
  <si>
    <t>Logros: 
- Abril consolida el despliegue simultáneo de las tres líneas del programa con un cumplimiento global del 77,6%. Competencias y Saberes alcanzó el 80,0%, reflejando una ejecución efectiva de capacitaciones institucionales con amplia cobertura. Los acompañamientos grupales de Palabras que acompañan llegaron a nuevos GITTs y dependencias centrales, ampliando el alcance territorial del programa.
Dificultades: Palabras que acompañan mantiene actividades pendientes, en su mayoría acompañamientos grupales en territorio que están en proceso de agendamiento. Cuerpo en equilibrio registró 7 cancelaciones. Se recomienda fortalecer la coordinación logística para estas líneas en mayo.</t>
  </si>
  <si>
    <t>Las 15 actividades pendientes se proyectan para los meses siguientes. Las cancelaciones en ambas líneas obedecen principalmente a ajustes de agenda y disponibilidad de los equipos territoriales.</t>
  </si>
  <si>
    <t>L6-P1-SGH-2026 Plan de Fortalecimiento SIBICU</t>
  </si>
  <si>
    <t>L6-GTH-002</t>
  </si>
  <si>
    <t>Distribución de Participaciones en el Programa Esperanza en Acción Nivel Central</t>
  </si>
  <si>
    <t>Establecer la cobertura de las actividades contempladas en el marco del programa Esperanza en Acción del Sistema Integral de Bienestar y Cuidado - SIBICU</t>
  </si>
  <si>
    <t xml:space="preserve">"Programa Esperanza en Acción: programa  diseñado para fomentar la salud física, emocional, laboral y familiar. Se estructura a través de cuatro (4) líneas de acción cada una centrada en la promoción, prevención  y atención de aspectos específicos que buscan satisfacer las necesidades y expectativas de las y los servidores en el entorno laboral y familiar. 
Sistema Integral de Bienestar y Cuidado-SIBICU: conjunto de intervenciones encaminadas a concretar una estructura funcional que promueva de manera articulada condiciones para los servidores y servidoras y contratistas de la UBPD.
Moviendo-Nos: Línea dirigida a fomentar el bienestar físico de los y las servidoras de la UBPD y los contratistas cuando aplique.
Con-Sentir: Línea que contempla actividades de cuidado, incentivos, gestión de alertas tempranas y apoyo en la información sobre los trámites de la Subdirección de Gestión Humana hacia los diferentes equipos que conforman las dependencias de la entidad. 
Bien-Estar: Línea que incluye las actividades de Briefing &amp; Debriefing en las misiones humanitarias, medición del clima organizacional, los espacios de cierre de gestión.
Saber-Estar: Línea que tiene como propósito brindar beneficios a los/as servidores/as, fortalecer habilidades de liderazgo, cumplir con los beneficios normativos de los que disponen los/as servidores/as"													</t>
  </si>
  <si>
    <t>Sumatoria de las lienas en la variable 1 / Sumatoria de las líneas en la variable 2</t>
  </si>
  <si>
    <r>
      <rPr>
        <sz val="10"/>
        <color theme="1"/>
        <rFont val="Arial"/>
      </rPr>
      <t xml:space="preserve">Número de personas beneficiadas por las actividades de la Línea i del programa según dependencia j en el periodo t
</t>
    </r>
    <r>
      <rPr>
        <sz val="8"/>
        <color theme="1"/>
        <rFont val="Arial"/>
      </rPr>
      <t>Línea i: Moviéndo-Nos, Con-Sentir, Bien-Estar, Saber-Estar</t>
    </r>
  </si>
  <si>
    <t>Número total de personas de la dependencia j en el periodo t</t>
  </si>
  <si>
    <t>Durante marzo de 2026 se registraron 573 participaciones a nivel central distribuidas en las líneas Bien-Estar, Con-Sentir, Moviéndo-Nos y Saber-Estar. La Subdirección General Técnica y Territorial concentró la mayor participación con 375 registros en las cuatro líneas. A diferencia de febrero, donde solo Moviéndo-Nos registró actividad, en marzo todas las dependencias tuvieron participaciones, destacándose Bien-Estar y Con-Sentir como las líneas de mayor alcance.</t>
  </si>
  <si>
    <t>Logros: Marzo evidenció la activación de todas las líneas del programa a nivel central, con presencia en prácticamente todas las dependencias. Dependencias como Oficina Asesora Jurídica, Subdirección de Gestión Financiera, Subdirección Técnica de Investigación Humanitaria y Subdirección Técnica de Particiapación y Enfoques Diferenciales registraron participaciones en múltiples líneas, lo que refleja una mayor apropiación del programa.
Dificultades: Algunas dependencias como Dirección General y Oficina de Gestión Disciplinaria solo registraron participaciones en Bien-Estar o Saber-Estar. Se recomienda avanzar en la cobertura de todas las líneas por dependencia en los próximos períodos.</t>
  </si>
  <si>
    <t>Estas líneas están en proceso de ajuste al día de la relación de actividades.</t>
  </si>
  <si>
    <t>Durante abril de 2026 se registraron 491 participaciones a nivel central, distribuidas en las tres líneas del programa: Competencias y Saberes (132), Cuerpo en equilibrio (275) y Palabras que acompañan (84). Comparado con marzo, abril mantiene una senda de participación importante, impulsado principalmente por la incorporación de Competencias y Saberes. Las dependencias con mayor participación fueron la Subdirección General Técnica y Territorial (53), la Subdirección Técnica de Investigación Humanitaria (63) y la Subdirección Técnica de Prospección, Recuperación e Identificación (68). Todas las líneas registraron actividad en prácticamente todas las dependencias del nivel central.</t>
  </si>
  <si>
    <t>Logros: La incorporación de Competencias y Saberes amplió significativamente la cobertura del indicador a nivel central, con participación de todas las dependencias en al menos una línea del programa. Dependencias históricamente con baja participación como Subdirección Técnica de Participación y Enfoques Diferenciales, Subdirección de Gestión Financiera y Oficina Asesora de Control Interno registraron actividades en las tres líneas.
Dificultades: La distribución entre líneas sigue siendo desigual, con Cuerpo en equilibrio concentrando el 56% de las participaciones. Se recomienda avanzar en actividades específicas de Palabras que acompañan para dependencias centrales con menor participación</t>
  </si>
  <si>
    <t>L6-GTH-003</t>
  </si>
  <si>
    <t>Distribución de Participaciones en el Programa Esperanza en Acción Nivel Territorial</t>
  </si>
  <si>
    <t>Medir la distribución de participaciones registradas en el marco del programa Esperanza en Acción del Sistema Integral de Bienestar y Cuidado - SIBICU a Nivel Territorial</t>
  </si>
  <si>
    <t>Total de participantes en la línea de trabajo i en el mes t en la dependencia d.</t>
  </si>
  <si>
    <t xml:space="preserve">Total de participantes en todas las líneas de trabajo en el mes t en la dependencia d.	</t>
  </si>
  <si>
    <t>Durante marzo de 2026 se registraron 111 participaciones a nivel territorial distribuidas en las cuatro líneas del programa. Con-Sentir y Bien-Estar lideraron la implementación en territorio, con presencia en múltiples GITTs y regionales. Comparado con febrero, donde se contabilizaron 35 participaciones territoriales en Moviéndo-Nos y Saber-Estar, marzo evidencia una mayor diversificación de líneas con cobertura en Norte, Noroccidente, Sur, Suroccidente, Nororiente, Oriente y Centro.</t>
  </si>
  <si>
    <t>Logros: El mes evidencia la activación de Con-Sentir y Bien-Estar a nivel territorial, líneas que no habían registrado participaciones en meses anteriores. GITTs como Casanare, Córdoba, Magdalena y Chocó participaron en tres o más líneas, lo que refleja un despliegue integral del programa.
Dificultades: Varios GITTs como Atlántico, Cauca, Meta y Santander registraron participaciones muy bajas (1 persona), lo que puede indicar subregistro. Se sugiere fortalecer el reporte en estos territorios para los siguientes meses.</t>
  </si>
  <si>
    <t>Durante abril de 2026 se registraron 629 participaciones a nivel territorial, distribuidas en Competencias y Saberes (296), Cuerpo en equilibrio (222) y Palabras que acompañan (111). Frente a marzo (111 participaciones territoriales), abril representa un incremento del 466%, explicado en gran parte por la inclusión de Competencias y Saberes y la mayor actividad de todas las líneas en territorio. Prácticamente todos los GITTs registraron participaciones, con mayor concentración en GITT Antioquia (54), GITT Magdalena (45), GITT Casanare (35) y GIT Regional Nororiente (16).</t>
  </si>
  <si>
    <t>Logros: Abril marcó el mes con mayor cobertura territorial del año, con presencia en todos los GITTs y regionales del país en al menos una línea. La línea Palabras que acompañan amplió su presencia territorial con acompañamientos en Cauca, Cesar, Caldas y Pacífico Nariñense, entre otros. Competencias y Saberes mostró un fuerte despliegue con capacitaciones que llegaron simultáneamente a múltiples regionales.
Dificultades: La concentración de participaciones de Competencias y Saberes en ciertos GITTs sugiere que algunas capacitaciones institucionales no tuvieron alcance en todos los territorios. Se recomienda revisar la cobertura de Cuerpo en equilibrio en GITTs con baja participación.</t>
  </si>
  <si>
    <t>L6-GTH-004</t>
  </si>
  <si>
    <t>Índice de Satisfacción Programa Esperanza en Acción</t>
  </si>
  <si>
    <t xml:space="preserve">Establecer la valoración de las y los usuarios de la atención en el marco de la implementación de acciones del Programa Esperanza en Acción en términos de relevancia, efectividad y eficiencia y evaluar el alcance de los efectos del Plan de Bienestar Social e Incentivos y el Plan de Autocuidado, el Camino del Apoyo Emocional hacia la Resiliencia -PAR
</t>
  </si>
  <si>
    <t>"Programa Esperanza en Acción: programa  diseñado para fomentar la salud física, emocional, laboral y familiar. Se estructura a través de cuatro (4) líneas de acción cada una centrada en la promoción, prevención  y atención de aspectos específicos que buscan satisfacer las necesidades y expectativas de las y los servidores en el entorno laboral y familiar.
Sistema Integral de Bienestar y Cuidado-SIBICU: conjunto de intervenciones encaminadas a concretar una estructura funcional que promueva de manera articulada condiciones para los servidores y servidoras y contratistas de la UBPD.
Relevancia: es el grado de importancia, utilidad o relación se tiene respecto a las actividades desarrolladas en las diferentes líneas del programas (Moviéndo-Nos, Con-Sentir, Bien-Estar, Saber-Estar)
Efectividad: capacidad de lograr el resultado u objetivo que se desea con el desarrollo de las actividades.
Eficiencia: capacidad de lograr un objetivo o realizar una actividad utilizando la menor cantidad posible de recursos.</t>
  </si>
  <si>
    <t>Media de satisfacción con las acciones de la Linea i en el criterio j durante el periodo t</t>
  </si>
  <si>
    <t>Valor otorgado por la persona n en la encuesta de satisfacción (escala 1 a 5</t>
  </si>
  <si>
    <t>Número total de respuestas en la línea i y criterio j durante el periodo t</t>
  </si>
  <si>
    <t>N/a</t>
  </si>
  <si>
    <t>No hay informe cualutativo</t>
  </si>
  <si>
    <t>Durante marzo de 2026 se recopilaron 682 evaluaciones del programa Esperanza en Acción, correspondientes a las líneas Moviéndo-Nos (89), Con-Sentir (231), Bien-Estar (237) y Saber-Estar (125). En términos generales, la valoración global del mes fue de 4.65/5.0, levemente superior al promedio de febrero (4.64). Bien-Estar obtuvo la puntuación más alta con 4.73, seguida de Saber-Estar (4.70) y Moviéndo-Nos (4.69). Con-Sentir registró la valoración más baja del mes con 4.53, aunque sigue siendo alta en términos absolutos. La eficiencia se mantuvo como el criterio mejor valorado en todas las líneas, mientras que la efectividad presentó las puntuaciones más conservadoras.</t>
  </si>
  <si>
    <t>Logros: Marzo marcó la primera vez en el trimestre con evaluaciones en las cuatro líneas simultáneamente, con muestras representativas (≥5 respuestas) en todas ellas. Las valoraciones se mantienen consistentemente altas (&gt;4.5/5.0), lo que refleja una percepción positiva generalizada del programa por parte de los participantes. Bien-Estar y Saber-Estar destacaron especialmente en relevancia y eficiencia.
Dificultades: Enero no cuenta con evaluaciones suficientes para ser incluido en los promedios generales. Con-Sentir presentó la valoración más baja del mes, especialmente en efectividad (4.49), lo que sugiere una oportunidad de mejora en el impacto percibido de las actividades de esta línea. Se recomienda revisar la metodología y objetivos de Con-Sentir para fortalecer su efectividad en los próximos meses.</t>
  </si>
  <si>
    <t>No es claro el cálculo</t>
  </si>
  <si>
    <t>Durante abril de 2026 se recopilaron 1274 evaluaciones del programa, distribuidas en Palabras que acompañan (237), Cuerpo en equilibrio (578) y Competencias y Saberes (459). Palabras que acompañan obtuvo la valoración general más alta con 4.77/5.0, seguida de Competencias y Saberes (4.71) y Cuerpo en equilibrio (4.67). Frente a marzo, se mantiene una tendencia positiva y estable en todas las dimensiones evaluadas. Cabe anotar que Competencias y Saberes no incluye preguntas de Efectividad en su instrumento de evaluación, por lo que el índice general de esta línea se calcula sobre Relevancia y Eficiencia.</t>
  </si>
  <si>
    <t>Logros: Las tres líneas mantienen valoraciones superiores a 4.6/5.0, evidenciando una percepción consistentemente positiva del programa. Palabras que acompañan destacó en Relevancia y Eficiencia (4.78), lo que refleja una alta pertinencia y calidad en la facilitación de los acompañamientos psicosociales. El volumen de evaluaciones en Competencias y Saberes (459) permite contar con una muestra representativa para este indicador.
Dificultades: Cuerpo en equilibrio presentó la valoración más baja del mes en Efectividad (4.66), lo que sugiere que el impacto percibido en el equilibrio personal y el clima laboral puede mejorarse. Se recomienda revisar la metodología de algunas actividades de esta línea para fortalecer su efectividad percibida.</t>
  </si>
  <si>
    <t>El instrumento de evaluación de Competencias y Saberes no contempla las preguntas de Efectividad (impacto en bienestar, clima laboral y riesgo), por lo que el índice general de esta línea se calcula como promedio de Relevancia y Eficiencia únicamente. Estos ajustes en el formato, responden a  los cambios presentados en el SIBICU.</t>
  </si>
  <si>
    <t xml:space="preserve">No registran  datos de las variables que  dan cuenta del avance reportado </t>
  </si>
  <si>
    <t>SGH</t>
  </si>
  <si>
    <t>L6-GTH-005</t>
  </si>
  <si>
    <t>Percepción Positiva Sostenibilidad - Programa Esperanza en Acción</t>
  </si>
  <si>
    <t>Conocer las percepciones de las y los usuarios de la atención en el marco de la implementación de acciones del Plan de Autocuidado, el Camino del Apoyo Emocional hacia la Resiliencia -PAR, en terminos de la sostenibilidad de los resultados</t>
  </si>
  <si>
    <t>Número de personas que tienen una percepción positiva sobre la sostenibilidad de los resultados de la atención o acciones en el marco del PAR durante el periodo t</t>
  </si>
  <si>
    <t>Número total de personas que participaron de acciones en el marco del PAR durante el periodo t</t>
  </si>
  <si>
    <t>Plan de fortalecimiento de la gestión del riesgo público definido e implementado</t>
  </si>
  <si>
    <t>L6-GTH-006</t>
  </si>
  <si>
    <t>Acciones de Gestión Tempranas del Riesgo Público Adelantadas</t>
  </si>
  <si>
    <t>Identificar, cuantificar y cualificar las acciones tempranas de gestión del riesgo público implementadas por las grupos territoriales, con el fin de fortalecer la toma de decisiones, visibilizar la capacidad institucional de respuesta y retroalimentar la planeación de estrategias preventivas y de protección en terreno.</t>
  </si>
  <si>
    <t>El indicador mide el número de acciones tempranas de gestión del riesgo público adelantadas por el equipo de Prevención y Protección, relacionadas con la emisión de alertas de riesgo y el monitoreo de las acciones humanitarias de búsqueda. Estas acciones permiten identificar y comunicar oportunamente condiciones de seguridad, riesgos y restricciones de movilidad que puedan afectar el desarrollo de las misiones institucionales, así como realizar seguimiento antes, durante y después de las comisiones en terreno para generar recomendaciones preventivas y fortalecer la toma de decisiones institucionales.</t>
  </si>
  <si>
    <t>Sumatoria Variable 1</t>
  </si>
  <si>
    <t>Cantidad de acciones de gestión tempranas del riesgo público del tipo i en el periodo t y en el grupo territorial g</t>
  </si>
  <si>
    <t xml:space="preserve">"1. Alertas de riesgo: La información se obtiene de los comunicados emitidos por Infoexpress UBPD con el asunto “ALERTA NACIONAL”. A partir de estos, el equipo de Prevención y Protección (PyP) realiza el análisis correspondiente de la información para su posterior difusión y publicación.
2. Monitoreo: La información se obtiene de la matriz “Matriz de Seguimiento a comisiones 2026”, monitoreo, se realizó monitoreo."												</t>
  </si>
  <si>
    <t>Alertas tempranas para el riesgo:
Las alertas emitidas por el equipo de Prevención y Protección hacia la entidad proporcionaron información contrastada y en tiempo real, lo cual facilitó la toma de decisiones por parte de los/as servidores/as y contratistas de la UBPD en el marco de las acciones humanitarias de búsqueda. Para enero y febrero se registró la emisión de cuatro (4) alertas de riesgo dirigidas al personal de la UBPD. La distribución territorial de estas alertas fue la siguiente:
1. ALERTA NACIONAL #6 DESPLAZAMIENTOS EN REMEDIOS (ANTIOQUIA) - Marzo 4 de 2026.
2. ALERTA NACIONAL #7 RIESGOS PARA LA MOVILIDAD INSTITUCIONAL Y EL DESARROLLO DE COMISIONES HUMANITARIAS EN LA VÍA PANAMERICANA - Marzo 13 de 2026.
3. ALERTA NACIONAL #8 RIESGO PARA LAS COMISIONES HUMANITARIAS EN EL DEPARTAMENTO DEL CHOCÓ - Marzo 18 de 2026
4. ALERTA NACIONAL #9 CIERRE DE VÍAS POR PARO MINERO INDEFINIDO - Marzo 19 de 2026
La creación de las alertas, el monitoreo permanente de las acciones humanitarias conducentes a reforzar protocolos, planes de contingencia, entre otros, ha impactado en favorecer que no se paralice la misionalidad de la UBPD aún en contextos donde no solo pervive el conflicto históricamente, sino que se han evidenciado niveles de recrudecimiento de la violencia.
Monitoreo de las acciones humanitarias de búsqueda:
Para este periodo, el equipo de Prevención y Protección realizó un total de 117 acciones de monitoreo antes, durante y después de las acciones humanitarias de búsqueda. De estas, 5 fueron canceladas por condiciones climáticas y de seguridad, y 1 fue postergada para el mes siguiente; por lo tanto, 111 comisiones contaron con monitoreo efectivo sin novedad.</t>
  </si>
  <si>
    <t>Emisión oportuna de alertas de riesgo: Se emitieron cuatro (4) alertas de riesgo que permitieron informar al personal de la UBPD sobre situaciones de seguridad relevantes, facilitando la adopción de medidas preventivas para el desarrollo de las acciones humanitarias de búsqueda.
Monitoreo permanente de las acciones en terreno: Se realizaron 117 monitoreos antes, durante y después de las acciones humanitarias, lo que permitió identificar riesgos, brindar recomendaciones inmediatas y contribuir a la continuidad de la misionalidad institucional.</t>
  </si>
  <si>
    <t>Alertas tempranas para el riesgo:
1. Las alertas emitidas por el equipo de Prevención y Protección hacia la entidad proporcionaron información contrastada y en tiempo real, lo cual facilitó la toma de decisiones por parte de los/as servidores/as y contratistas de la UBPD en el marco de las acciones humanitarias de búsqueda. Para el mes de abril se registró la emisión de cuatro (4) alertas de riesgo dirigidas al personal de la UBPD. La distribución territorial de estas alertas fue la siguiente:
1. 1. Alerta nacional #10 riesgos para la movilidad institucional y el desarrollo de comisiones humanitarias paro nacional (Santander) – 9/04/2026.
1. 2. Alerta nacional #11 riesgos para la movilidad institucional y el desarrollo de comisiones humanitarias paro nacional, alcance Alerta nacional #10 por paro nacional (Santander) – 14/04/2026.
1. 3. Alerta nacional #12 confinamiento y combates armados – restricción de movilidad para comisiones humanitarias (Municipio de Tibú) – 17/04/2026.
1. 4. Alerta nacional #13 riesgos para las comisiones humanitarias (centro) de la UBPD en el proceso electoral del - 31 de mayo 2026. - 28/04/2026 
La creación de las alertas, el monitoreo permanente de las acciones humanitarias conducentes a reforzar protocolos, planes de contingencia, entre otros, ha impactado en favorecer que no se paralice la misionalidad de la UBPD aun en contextos donde no solo pervive el conflicto históricamente, sino que se han evidenciado niveles de recrudecimiento de la violencia.
Monitoreo de las acciones humanitarias de búsqueda:
Para este periodo, el equipo de Prevención y Protección realizó un total de 131 acciones de monitoreo antes, durante y después de las acciones humanitarias de búsqueda. De estas, 4 fueron canceladas por condiciones climáticas y de seguridad, y 10 fueron postergadas para el mes siguiente; por lo tanto, 131 comisiones contaron con monitoreo efectivo sin novedad.</t>
  </si>
  <si>
    <t>Emisión oportuna de alertas de riesgo: Se emitieron cuatro (4) alertas de riesgo que permitieron informar al personal de la UBPD sobre situaciones de seguridad relevantes, facilitando la adopción de medidas preventivas para el desarrollo de las acciones humanitarias de búsqueda.
Monitoreo permanente de las acciones en terreno: Se realizaron 131 monitoreos antes, durante y después de las acciones humanitarias, lo que permitió identificar riesgos, brindar recomendaciones inmediatas y contribuir a la continuidad de la misionalidad institucional.</t>
  </si>
  <si>
    <t>L6-GTH-008</t>
  </si>
  <si>
    <t>Acceso efectivo a territorios complejos</t>
  </si>
  <si>
    <t>Pendiente de envío por parte del área</t>
  </si>
  <si>
    <t>Plan de Implementación de la Política Interna de Género ejecutado</t>
  </si>
  <si>
    <t>L6-SGH-009</t>
  </si>
  <si>
    <t>Porcentaje de apropiación de la Política Interna de Género</t>
  </si>
  <si>
    <t xml:space="preserve">Fortalecer la apropiación de la Política Interna de Género. </t>
  </si>
  <si>
    <t>Política de Género: Herramienta para diseñar, organizar, implementar y hacer seguimiento a líneas, estrategias y acciones que de manera decidida propendan por el reconocimiento de las necesidades, particularidades, experiencias, saberes, intereses de mujeres, niñas y personas LGBTIQ+ en perspectiva con lo interseccional, tanto en la misionalidad de la búsqueda humanitaria y extrajudicial, como en las condiciones laborales de quienes están vinculadas/es/os a la entidad.
Protocolo La Ruda: Ruta para abordar integralmente los casos en los que se presenten conductas relacionadas con violencias basadas en género y/o discriminación por razón de violencias basadas en género, acoso sexual y/o discriminación por razón de racialización, religión, nacionalidad, ideología política y/o filosófica, sexo, orientación sexual, discapacidad y demás razones de discriminación en el ámbito laboral de la UBPD de acuerdo con los enfoques y competencias.                                                                                                                                                                                                                                                                                                                            Capacitaciones en género: Deberá realizarse capacitaciones orientadas a la equidad de género, la no discriminación y la prevención de las violencias basadas en género.</t>
  </si>
  <si>
    <t>Número de personas que aprueban la evaluación en las capacitaciones del período</t>
  </si>
  <si>
    <t>Número de personas que asisten a la capacitación y realizan la evaluación</t>
  </si>
  <si>
    <t>L6-GTH-010</t>
  </si>
  <si>
    <t>Porcentaje de casos atendidos por el Protocolo La Ruda</t>
  </si>
  <si>
    <t>Realizar seguimiento al nivel de recepción, análisis y conclusión de los casos presentados para la aplicación del Protocolo La Ruda.</t>
  </si>
  <si>
    <t>Protocolo La Ruda: es el documento mediante el cual se establece la ruta para abordar integralmente los casos en los que se presenten conductas relacionadas con violencias basadas en género y/o discriminación por razón de violencias basadas en género, acoso sexual y/o discriminación por razón de racialización, religión, nacionalidad, ideología política y/o filosófica, sexo, orientación sexual, discapacidad y demás razones de discriminación en el ámbito laboral de la UBPD de acuerdo con los enfoques y competencias.</t>
  </si>
  <si>
    <t>Número de casos recibidos en el periodo t</t>
  </si>
  <si>
    <t>Número de casos analizados en periodo t</t>
  </si>
  <si>
    <t>Número de casos conclusión en el periodo t</t>
  </si>
  <si>
    <t>Para esta vigencia se realizará la actualización de la Política Interna de Género.</t>
  </si>
  <si>
    <t xml:space="preserve">El reporte se realiza de forma semestral, Pendiente la definición de meta y linea base </t>
  </si>
  <si>
    <t>L6-GTH-007</t>
  </si>
  <si>
    <t>Activaciones Sala de Crisis</t>
  </si>
  <si>
    <t>Determinar el número de eventos que se materializaron el riesgo dando lugar a la activación de la Sala de Crisis</t>
  </si>
  <si>
    <t>Registra el número de eventos en los que se materializa alguno de los riesgos definidos por la entidad y que, de acuerdo con los protocolos institucionales, generan la activación de la Sala de Crisis durante el periodo de medición. El indicador se calcula mediante el conteo de las activaciones registradas en la Matriz de Reporte de Eventos, desagregadas por tipo de riesgo, con el fin de realizar seguimiento a las situaciones críticas que afectan el desarrollo de las operaciones institucionales y requieren la coordinación de mecanismos de respuesta. La medición se realiza de manera mensual y se expresa en número de eventos.</t>
  </si>
  <si>
    <t>Número de eventos según tipo de riesgo  i que derivó en una activación de la Sala de Crisis durante el periodo t</t>
  </si>
  <si>
    <t xml:space="preserve">La información se extrae de la "Matriz Reporte de Eventos", entre los que se incluyen: colapso de instalaciones, accidente de tránsito, suicidio, acceso carnal, tortura, homicidio, atentado, actos con lesiones, fuego cruzado que cause lesiones, accidente MAP, MUSE o TE, retención o secuestro, acto terrorista, desastre natural que impida el desarrollo de la misión humanitaria, movimiento en masa e inundaciones, incendio, pérdida de información pública reservada por daño físico de los equipos o instalaciones, alteración o vulneración de información pública reservada y difusión masiva de información falsa sobre la entidad y sus procedimientos.													</t>
  </si>
  <si>
    <t>Teniendo en cuenta que a la fecha no se han materializado riesgos criticos que ameritaran la activación de sala de crisis, se reconoce que los lineamientos de Prevención y Protección para las operaciones en terreno y las diferentes estrategias desplegadas para la mitigación de los factores de riesgo, han contribuido a que no se tenga que activar mecanismos de respuesta ante situaciones criticas y, por ende, ha favorecido a salvaguarda la vida, lla ibertad e integridad de servidores/as, contratistas y terceros participantes en las acciones enmarcadas por la misionalidad.</t>
  </si>
  <si>
    <t>Ninguno</t>
  </si>
  <si>
    <t>L6-GTH-011</t>
  </si>
  <si>
    <t xml:space="preserve">Avance implementación Plan de Trabajo SG-SST </t>
  </si>
  <si>
    <t>Realizar seguimiento a la ejecución de las acciones del Plan de Trabajo del Sistema de Gestión de Seguridad y Salud en el Trabajo</t>
  </si>
  <si>
    <t>Plan de Trabajo del Sistema de Seguridad y Salud en el Trabajo: documento que organiza y programa las actividades, objetivos, responsables, recursos y tiempos necesarios para implementar y mejorar la seguridad y la salud en el trabajo dentro de la entidad durante una vigencia.</t>
  </si>
  <si>
    <t>(V1 / V2)x100</t>
  </si>
  <si>
    <t>Número de actividades implementadas en el periodo t</t>
  </si>
  <si>
    <t>Número de actividades programadas en el plan de trabajo en el periodo t</t>
  </si>
  <si>
    <t>Pendiente definición de meta anual y linea base</t>
  </si>
  <si>
    <t>MARZO:  durante este mes, el indicador de ejecución de actividades del Sistema de Gestión de Seguridad y Salud en el Trabajo alcanzó un cumplimiento del 100 % respecto a las actividades programadas. Entre estas se destacan las acciones desarrolladas en el marco del Programa de Vigilancia Epidemiológica Psicosocial-PVE, como la estrategia “Hablar que cuida”; así como las pausas activas y las Inspecciones al Puesto de Trabajo correspondientes al PVE de Desórdenes Músculo-Esqueléticos (DME). Asimismo, se llevaron a cabo actividades de orden y aseo, junto con la capacitación dirigida a los brigadistas de la UBPD en el nivel central, la cual fue impartida por el proveedor K&amp;C. De igual manera, se desarrollaron actividades de promoción y prevención en salud, alcanzando un total de 37 actividades ejecutadas durante el periodo. En conjunto, estas acciones reflejan un cumplimiento integral de la planificación establecida, fortaleciendo la gestión preventiva y el bienestar de los/as colaboradores/as.</t>
  </si>
  <si>
    <t>MARZO:
Logros: 
- Cumplimiento del 100 % de las actividades programadas en el Sistema de Gestión de Seguridad y Salud en el Trabajo.
- Ejecución efectiva de 37 actividades de promoción y prevención en salud, fortaleciendo la cultura de autocuidado.
Dificultades:
- Limitaciones de tiempo para la participación de todos los colaboradores en algunas actividades.
- Posibles dificultades logísticas en la ejecución simultánea de múltiples actividades.
- Necesidad de reforzar la sensibilización para mantener una participación constante en las actividades de promoción y prevención.</t>
  </si>
  <si>
    <t>Durante el mes de abril, el equipo de Seguridad y Salud en el Trabajo realizó 53 actividades, alcanzando una cobertura de 618 trabajadores. Estas actividades estuvieron orientadas a la prevención de accidentes y enfermedades laborales, distribuidas de la siguiente manera:
En el programa de prevención de desórdenes musculoesqueléticos participaron 269 trabajadores, quienes asistieron a actividades como pausas activas e inspecciones de orden y aseo.
En el programa cardiovascular participaron 217 trabajadores en capacitaciones sobre prevención del riesgo y jornadas de tamizaje.
En el programa de prevención del riesgo psicosocial participaron 69 trabajadores en actividades de capacitación.
En las actividades de prevención de accidentes laborales participaron 63 trabajadores.
Estas acciones fortalecen la promoción de ambientes de trabajo seguros y saludables, contribuyendo al bienestar integral de los trabajadores.</t>
  </si>
  <si>
    <t>Abril: Logros: Fortalecimiento de la cultura de prevención y autocuidado entre los trabajadores, mediante la participación activa en las diferentes capacitaciones y jornadas programadas.
Incremento en la identificación y control de factores de riesgo cardiovascular, gracias a la participación de 217 trabajadores en actividades de capacitación y tamizaje, favoreciendo la detección temprana de condiciones de salud.
Ampliación de la cobertura de las actividades de Seguridad y Salud en el Trabajo, logrando impactar a 618 trabajadores a través de 53 actividades ejecutadas durante el periodo.
Dificultades: Oportunidad de fortalecer la participación activa de los trabajadores en las actividades programadas.</t>
  </si>
  <si>
    <t>El estado esmodificado porue se ajustó el código del indicador</t>
  </si>
  <si>
    <t>L6-GTH-012</t>
  </si>
  <si>
    <t>Avance Actualización Planes de Emergencia</t>
  </si>
  <si>
    <t>Realizar seguimiento a la actualización de los Planes de Emergencia frente a la programación realizada</t>
  </si>
  <si>
    <t>Plan de Emergencias: conjunto de procedimientos, acciones y recursos organizados para prevenir, responder y controlar situaciones de emergencia que puedan poner en riesgo la vida de las personas y las instalaciones de las diferentes sedes en las cuales tiene presencia la entidad a nivel nacional.</t>
  </si>
  <si>
    <t>Número de planes de emergencia actualizado en el periodo t</t>
  </si>
  <si>
    <t>Número planes de emergencia programados para actualización en el periodo t</t>
  </si>
  <si>
    <t>No tiene reporte cualitativo, pendiente definición de meta</t>
  </si>
  <si>
    <t>MARZO: El proveedor de la ARL AXA Colpatria, K&amp;C, realizó ajustes a 28 planes de emergencia a nivel nacional. Posteriormente, estos fueron remitidos al área de Planeación para su respectiva validación.</t>
  </si>
  <si>
    <t xml:space="preserve">MARZO:
Logros: Se cumplió con la actualización y mejora continua de los planes conforme a los lineamientos establecidos. 28 Planes revisados por  proveedor K&amp;C, proveedora de AXXA Colpatria.
              Se remitieron oportunamente los planes al área de Planeación para su validación.
</t>
  </si>
  <si>
    <t>Ninguna</t>
  </si>
  <si>
    <t>En el mes de abril se adelanto el cierre de la actualización del plan de emergencia de nivel central, el cual se socializó el 27 de abril de 2026 con la participación de 37 trabajadores.</t>
  </si>
  <si>
    <t>Logros:
Se culmina el proceso de actualización del plan de emergencias de nivel central y se realiza socialización</t>
  </si>
  <si>
    <t xml:space="preserve">R6. La gestión institucional y territorial es ágil, eficiente y coordinada en la prestación de servicios de búsqueda de personas dadas por desaparecidas </t>
  </si>
  <si>
    <t>L6-GTH-013</t>
  </si>
  <si>
    <t>Investigación de Accidentes</t>
  </si>
  <si>
    <t>Realizar seguimiento al avance en la investigación de los accidentes reportados</t>
  </si>
  <si>
    <t>Investigación de accidentes: proceso sistemático mediante el cual se analizan las causas y circunstancias de un accidente para determinar por qué ocurrió y cómo prevenir que vuelva a suceder.</t>
  </si>
  <si>
    <t>Número de accidentes investigados en el nivel i durante el periodo t</t>
  </si>
  <si>
    <t xml:space="preserve">Número accidentes reportados por el nivel i </t>
  </si>
  <si>
    <t xml:space="preserve">
MARZO: durante este mes se presentaron tres accidentes de trabajo. De estos, dos ya fueron investigados dentro de los plazos establecidos por la normatividad vigente. El accidente pendiente de investigación fue reportado el 25 de marzo y, a la fecha (26 de marzo de 2026), se encuentra en proceso de asignación del grupo investigador por parte del COPASST.</t>
  </si>
  <si>
    <t>MARZO:
Logros: Se investigaron oportunamente 2 de los 3 accidentes de trabajo, cumpliendo con los tiempos establecidos por la normatividad vigente.
Se mantiene el proceso activo para la investigación del caso restante.
Se realizó el reporte oportuno del accidente ocurrido el 25 de marzo.
Se cuenta con la participación del COPASST en la asignación del grupo investigador, fortaleciendo el cumplimiento del proceso.
Dificultades: Ninguna</t>
  </si>
  <si>
    <t xml:space="preserve">
ABRIL: El indicador muestra un comportamiento positivo debido a la ausencia de accidentes en abril, para servidores. Sin embargo, se debe mantener el seguimiento a casos previos y fortalecer el reporte de incidentes para asegurar la mejora continua.</t>
  </si>
  <si>
    <t xml:space="preserve">
ABRIL
Principales logros:
- Ausencia de accidentes de trabajo durante el periodo.
- Comportamiento positivo del indicador de seguimiento.
- Mantenimiento de condiciones laborales seguras.
- Enfoque preventivo fortalecido dentro de la gestión.
Dificultades del periodo:
- Riesgo de disminuir la rigurosidad en el seguimiento por ausencia de eventos.
- Necesidad de reforzar el reporte de incidentes y condiciones inseguras para prevenir futuros accidentes.</t>
  </si>
  <si>
    <t>L6-GTH-015</t>
  </si>
  <si>
    <t>Cobertura exámenes meédicos laborales (ocupacionales)</t>
  </si>
  <si>
    <t>Realizar seguimiento al cumplimiento de la programación de los exámenes medicos ocupacionales</t>
  </si>
  <si>
    <t>Número de servidores de planta que surtieron el exámen según tipo i durante el periodo t</t>
  </si>
  <si>
    <t>Número de servidores de planta programados para exámen según tipo i durante el periodo t</t>
  </si>
  <si>
    <t>R6. La gestión institucional y territorial es ágil, eficiente y coordinada en la prestación de servicios de búsqueda de personas dadas por desaparecidaS</t>
  </si>
  <si>
    <t>L6-GTH-014</t>
  </si>
  <si>
    <t>Índice de Frecuencia de Accidentes de Trabajo</t>
  </si>
  <si>
    <t>Determinar la frecuencia de accidentes de trabajo</t>
  </si>
  <si>
    <t>Frecuencia de Accidentes de Trabajo: indicador que mide cuántos accidentes laborales ocurren en entidad durante un período determinado en relación con el número de servidores/as o las horas trabajadas.</t>
  </si>
  <si>
    <t>Número de accidentes de trabajo que se presentaron en el nivel i durante el periodo t</t>
  </si>
  <si>
    <t>Número de trabajadores activosen el nivel i durante el periodo t</t>
  </si>
  <si>
    <t xml:space="preserve">
MARZO: durante este mes se registraron 3 accidentes de trabajo sobre una población de 548 servidores/as de planta, lo que representa una frecuencia de accidentalidad del 0,55% en el periodo analizado. Este resultado evidencia una baja proporción de ocurrencia de accidentes en relación con el total de trabajadores; sin embargo, se hace necesario continuar fortaleciendo las acciones de prevención, control de riesgos y cultura de seguridad, con el fin de reducir aún más la incidencia y evitar la materialización de accidentes laborales.</t>
  </si>
  <si>
    <t xml:space="preserve">
MARZO:
Logros: 
1. Se registró una baja frecuencia de accidentalidad (0,55%), lo que refleja control en las condiciones de seguridad y salud en el trabajo.
2. Se cuenta con seguimiento y medición del indicador de accidentalidad durante el periodo.
3. Se dispone de información que permite la toma de decisiones en materia de prevención.
4. Se mantiene monitoreo sobre la población trabajadora (548 servidores), facilitando el análisis de cobertura.
</t>
  </si>
  <si>
    <t>ABRIL: No se registraron accidentes de trabajo para los servidores de la UBPD, lo que refleja una gestión efectiva en seguridad y salud laboral y un buen nivel de prevención. Se recomienda mantener las acciones preventivas para conservar estos resultados.</t>
  </si>
  <si>
    <t>ABRIL: 
Principales logros:
- Cero accidentes de trabajo durante el mes de abril.
- Evidencia de una gestión efectiva en seguridad y salud en el trabajo.
- Fortalecimiento de la cultura de prevención y autocuidado entre los servidores.
- Cumplimiento adecuado de los protocolos y medidas preventivas.
Dificultades del periodo (SGH):
- Riesgo de generar confianza excesiva o disminución en la percepción del riesgo.
- Necesidad de mantener la constancia en las actividades de capacitación y seguimiento.
- Posible subregistro de incidentes menores si no se refuerzan los canales de reporte.</t>
  </si>
  <si>
    <t>Índice de Frecuencia de Accidentes de Trabajo con Incapacidad</t>
  </si>
  <si>
    <t>Determinar la frecuencia de accidentes de trabajo que generan incapacidad</t>
  </si>
  <si>
    <t>Índice de Frecuencia de Accidentes de Trabajo con Incapacidad: indicador que mide la cantidad de accidentes laborales que generan incapacidad en los trabajadores por cada cierto número de horas trabajadas en una empresa durante un período determinado.</t>
  </si>
  <si>
    <t>Número de accidentes de trabajo que generaron incapacidad laboral que se presentaron en el nivel i durante el periodo t</t>
  </si>
  <si>
    <t>Número de trabajadores activos en el nivel i durante el periodo t</t>
  </si>
  <si>
    <t xml:space="preserve">
MARZO: durante este mes, el Índice de Frecuencia de Accidentes de Trabajo con Incapacidad evidenció un comportamiento diferenciado por niveles: el nivel territorial registró un índice bajo de 0,02 (1 día de incapacidad en 42.336 horas trabajadas), el nivel regional presentó el valor más alto con 1,74 (17 días de incapacidad en 9.744 horas), y el nivel nacional no reportó días de incapacidad. En general, aunque los resultados en los niveles territorial y nacional son favorables, el nivel regional concentra la mayor frecuencia de días de incapacidad, lo que requiere priorizar acciones de intervención para fortalecer la prevención y control de riesgos.</t>
  </si>
  <si>
    <t xml:space="preserve">
MARZO:
Logros:
1. El nivel territorial y nacional presentan índices bajos o nulos de frecuencia, evidenciando control en la gestión de riesgos laborales.
2. Se cuenta con medición y seguimiento del indicador de frecuencia de accidentes con incapacidad.
3. Se evidencia capacidad de respuesta para registrar y analizar los días de incapacidad asociados a eventos laborales.
Dificultades:
1. El nivel regional presenta el índice más alto (1,74), concentrando la mayor frecuencia de días de incapacidad.
2. Posible falta de adherencia a los protocolos de seguridad por parte de los trabajadores.
3. Necesidad de fortalecer las estrategias de intervención, capacitación y control para reducir la ocurrencia de accidentes con incapacidad.</t>
  </si>
  <si>
    <t>ABRIL: El indicador se mantiene en cero por la ausencia de accidentes con incapacidad, lo que refleja una gestión preventiva efectiva. Se recomienda continuar fortaleciendo las acciones de seguridad para mantener estos resultados.</t>
  </si>
  <si>
    <t>ABRIL:
Principales logros (SGH):
- Índice de frecuencia en cero por ausencia de accidentes con incapacidad.
- Evidencia de una gestión preventiva efectiva en seguridad y salud en el trabajo.
- Protección de la integridad de los servidores y condiciones laborales seguras.
- Cumplimiento de medidas y controles de riesgo establecidos.
Dificultades del periodo (SGH):
- Riesgo de disminución en la percepción del riesgo por resultados favorables.
- Necesidad de mantener la cultura de reporte de incidentes y mejora continua.</t>
  </si>
  <si>
    <t>L6-GTH-016</t>
  </si>
  <si>
    <t>Índice de Severidad de Accidentes de Trabajo - ISAT</t>
  </si>
  <si>
    <t>Determinar la afectación sobre las labores derivado de los accidentes de trabajo ,  a partir de la determinación del número de días de ausencia por incapacidad laboral  o cargados por la ARL derivado de los accidentes de trabajo.</t>
  </si>
  <si>
    <t>Índice de Severidad de Accidentes de Trabajo (ISAT): indicador que mide la gravedad de los accidentes laborales según el número de días perdidos por incapacidad en relación con las horas trabajadas en la entidad durante un período determinado.</t>
  </si>
  <si>
    <t>(V1 / V2) X 100</t>
  </si>
  <si>
    <t>Número de días perdidos y cargados por accidentes de Trabajo se presentaron en el nivel i durante el periodo t</t>
  </si>
  <si>
    <t>Número de días cargados por accidentes de Trabajo se presentaron en el nivel i durante el periodo t</t>
  </si>
  <si>
    <t xml:space="preserve">Es necesario revisar las variables del indicador. Las que estan registradas en el listado maestro n o coinciden con la ficha. Las variables registradas en la ficha no coinciden con el reporte cuantitativo </t>
  </si>
  <si>
    <t>L6-GTH-017</t>
  </si>
  <si>
    <t>Prevalencia de Enfermedad Laboral</t>
  </si>
  <si>
    <t>Enfermedad laboral: alteración de la salud del trabajador causada por la exposición prolongada a factores de riesgo presentes en su lugar de trabajo o derivada directamente de la actividad que realiza.</t>
  </si>
  <si>
    <t xml:space="preserve">Número casos nuevos (en reconocimiento) de Enfermedad Laboral en el nivel i durante el periodo t </t>
  </si>
  <si>
    <t xml:space="preserve">Número casos antiguos (reconocidos) de Enfermedad Laboral en el nivel i durante el periodo t </t>
  </si>
  <si>
    <t>Número promedio de trabajadores en el nivel i durante el periodo t</t>
  </si>
  <si>
    <t xml:space="preserve">
MARZO: La entidad no reportó ningún caso de enfermedad laboral, resultando en una prevalencia de 0%, lo que refleja condiciones laborales favorables y efectividad en las medidas preventivas implementadas. A pesar de este resultado positivo, se recomienda mantener vigilancia y programas de prevención para asegurar que la incidencia siga siendo nula.</t>
  </si>
  <si>
    <t xml:space="preserve">
MARZO:
Logros:
1. Se mantiene una prevalencia de enfermedad laboral del 0%, lo que refleja condiciones laborales seguras y saludables.
2. Las medidas preventivas implementadas, como controles médicos y programas de promoción de la salud, están mostrando efectividad.
3. La vigilancia y el seguimiento continuo permiten identificar y mitigar riesgos antes de que se conviertan en enfermedades.
Dificultades:
1. Necesidad de mantener la capacitación constante de los trabajadores para prevenir futuros riesgos laborales.
2. Requiere seguimiento constante de los factores de riesgo que podrían generar enfermedades ocupacionales a largo plazo.</t>
  </si>
  <si>
    <t>ABRIL: La prevalencia de enfermedad laboral es cero, evidenciando condiciones laborales seguras y acciones preventivas efectivas. Se recomienda mantener la vigilancia en salud ocupacional.</t>
  </si>
  <si>
    <t>ABRIL:
Principales logros (SGH):
- Prevalencia de enfermedad laboral en cero.
- Adecuadas condiciones de trabajo y control de riesgos.
- Fortalecimiento de la prevención en SST.
Dificultades del periodo (SGH):
- Riesgo de subregistro de síntomas o condiciones de salud relacionadas con el trabajo.
- Necesidad de fortalecer la vigilancia epidemiológica continua.</t>
  </si>
  <si>
    <t>L6-GTH-018</t>
  </si>
  <si>
    <t>Incidencia de Enfermedad Laboral</t>
  </si>
  <si>
    <t>(V1/ V2) X 100</t>
  </si>
  <si>
    <t xml:space="preserve">Número casos nuevos de Enfermedad Laboral en el nivel i durante el periodo t </t>
  </si>
  <si>
    <t xml:space="preserve">
MARZO: durante este mes, la entidad no registró ningún caso nuevo de enfermedad laboral, resultando en una incidencia de 0%. Esto evidencia que no se presentaron eventos que afectaran la salud de los trabajadores durante el periodo y refleja la efectividad de las medidas preventivas implementadas, como protocolos de seguridad, controles médicos y programas de promoción de la salud. A pesar de este resultado favorable, es importante mantener la vigilancia continua y la capacitación del personal para garantizar que la incidencia se mantenga en cero y minimizar riesgos futuros.</t>
  </si>
  <si>
    <t xml:space="preserve">
MARZO:
Logros: 
1. La incidencia de enfermedad laboral se mantiene en 0%, evidenciando condiciones laborales seguras y saludables.
2. Las medidas preventivas implementadas, como controles médicos, protocolos de seguridad y programas de promoción de la salud, han sido efectivas.
3. La vigilancia y el seguimiento continuo permiten identificar y mitigar riesgos antes de que se conviertan en enfermedades laborales.
Dificultades:
1. Necesidad de mantener la capacitación constante de los trabajadores para prevenir futuros riesgos ocupacionales.
2. Requiere seguimiento permanente de los factores de riesgo que podrían generar enfermedades laborales a largo plazo.</t>
  </si>
  <si>
    <t>ABRIL: El índice de incidencia de enfermedad laboral es cero, lo que refleja ausencia de casos nuevos y una gestión preventiva efectiva. Se recomienda mantener la vigilancia en salud ocupacional.</t>
  </si>
  <si>
    <t>ABRIL:
Principales logros (SGH):
- Incidencia de enfermedad laboral en cero.
- Ausencia de casos nuevos en el periodo.
- Adecuada gestión preventiva y control de riesgos.
- Fortalecimiento de la vigilancia en salud de los trabajadores.
Dificultades del periodo (SGH):
- Limitada identificación de nuevos casos para evaluar exposición real a riesgos.
- Posible subregistro de síntomas iniciales o condiciones asociadas al trabajo.
- Necesidad de reforzar la detección temprana y el seguimiento en SST.</t>
  </si>
  <si>
    <t>L6-GTH-019</t>
  </si>
  <si>
    <t>Tasa de ausentismo</t>
  </si>
  <si>
    <t xml:space="preserve">Realizar seguimiento al ausentismo en la UBPD que permita generar acciones de mitigación </t>
  </si>
  <si>
    <t xml:space="preserve">"Ausentismo: ocurre cuando un/a servidor/a no asiste a su trabajo durante el horario establecido, ya sea por enfermedad, motivos personales u otras razones.
Incapacidad laboral: situación en la que un/a servidor/a  no puede realizar sus actividades laborales de manera temporal o permanente debido a una enfermedad o accidente.
Incapacidad de origen común: situación en la que un/a servidor/a no puede desempeñar sus actividades laborales debido a una enfermedad o accidente que no está relacionado con su trabajo.
Calamidad doméstica: suceso grave e inesperado que afecta al servidor/a o a su familia cercana y que requiere su ausencia temporal del trabajo para atender la situación.
Licencia por luto: permiso laboral remunerado que se otorga a un/a servidor/a cuando fallece un familiar cercano, para que pueda atender asuntos personales y familiares relacionados con la pérdida.
Permiso por docencia: autorización que se le concede a un/a servidor/a para ausentarse temporalmente de su trabajo con el fin de realizar actividades relacionadas con la enseñanza o la formación académica.
Licencia no remunerada: permiso que se le concede a un/a servidor para ausentarse de su trabajo durante un tiempo determinado sin recibir salario.
Permiso de lactancia: derecho que tiene una servidora de disponer de tiempo durante su jornada laboral para amamantar a su hijo o extraer leche materna hasta por los primeros 2 años de vida del menor.
Licencia de maternidad: derecho que tiene una servidora de ausentarse de su trabajo durante un periodo antes y después del nacimiento de su hijo, con el fin de recuperarse del parto y cuidar al bebé.
Licencia de paternidad: permiso laboral remunerado que se otorga a un servidor tras el nacimiento de su hijo, con el fin de participar en los cuidados iniciales del bebé y apoyar a la madre."										</t>
  </si>
  <si>
    <t>Tasa Ausentismo = Suma Días de Ausenia / Días Laborales X Servidores Vinculados</t>
  </si>
  <si>
    <t>Número de días de ausencia según situación administrativa i en el nivel j durante el perido t</t>
  </si>
  <si>
    <t>Número total de días laborables planificados (días laborables × servidores vinculados en el periodo t)</t>
  </si>
  <si>
    <t xml:space="preserve">MARZO
Durante el periodo analizado se evidencia que la principal causa de ausentismo laboral corresponde a los permisos remunerados, con 231,97 días hábiles, lo que representa el 50,4% del total de días de ausentismo. En segundo lugar, se encuentran las incapacidades médicas de origen común, con 141 días hábiles, equivalentes al 30,6% del total de ausencias.
En conjunto, estas dos situaciones administrativas concentran aproximadamente el 81,0% del total de días de ausentismo registrados, lo que evidencia que son los factores que mayor incidencia tienen en el comportamiento del indicador durante el periodo analizado.       </t>
  </si>
  <si>
    <t xml:space="preserve">
MARZO
LOGROS:
Un logro representativo se encuentra asociado al registro adecuado de las situaciones administrativas al momento de digitar. 
DIFICULTADES:
Una dificultad, es la tardía actualización en los flujos de aprobación, por lo que, aunque el/la servidor/a registre de manera adecuada la solicitud, muchas veces el flujo de aprobación no llega al jefe directo debido a los múltiples cambios que se han generado en la planta de personal. 
Otra de las dificultades presentadas durante el periodo analizado estuvo relacionada con la gestión de los permisos remunerados derivados de la jornada de votaciones. En este caso, debido a que el módulo de permisos remunerados no cuenta con la funcionalidad para adjuntar soportes, los/las servidores/as debieron remitir sus certificados electorales a través de correo electrónico. Esta situación generó un doble proceso administrativo, incrementando tanto el número de registros en el aplicativo Tramitemos como el volumen de correos gestionados, lo que impactó la eficiencia operativa del trámite.  </t>
  </si>
  <si>
    <t xml:space="preserve">El incremento significativo de los permisos remunerados durante el mes de marzo obedece a la jornada de votaciones realizada el 8 de marzo, con ocasión de la cual los/las servidores/as hicieron uso del medio día compensatorio establecido por ley.                                                                                </t>
  </si>
  <si>
    <t>Durante el periodo analizado se evidencia que la principal causa de ausentismo laboral corresponde a los permisos remunerados, con 280,35 días hábiles, lo que representa el 51,7% del total de días de ausentismo. En segundo lugar, se encuentran las incapacidades médicas de origen común, con 150 días hábiles, equivalentes al 27,7% del total de ausencias.
En conjunto, estas dos situaciones administrativas concentran aproximadamente el 79,4% del total de días de ausentismo registrados, lo que evidencia que son los factores que mayor incidencia tienen en el comportamiento del indicador durante el periodo analizado.</t>
  </si>
  <si>
    <t>Dentro de las dificultades identificadas durante el periodo analizado, se evidenció que algunos/as servidores/as registraron de manera tardía situaciones administrativas correspondientes al mes de marzo, efectuando su reporte únicamente hasta el mes de abril. Esta situación genera una afectación en la consolidación y precisión del indicador reportado para el periodo anterior, dado que modifica de manera extemporánea la información inicialmente registrada.
Por otro lado, se observó que varios/as servidores/as realizaron el registro de situaciones administrativas bajo una justificación equivocada, lo que implicó la necesidad de efectuar revisiones y validaciones adicionales por parte del equipo encargado, impactando el proceso de control y seguimiento de la información reportada.</t>
  </si>
  <si>
    <t>Como observación general, se evidencia que los permisos remunerados y las incapacidades médicas de origen común continúan siendo las situaciones administrativas más utilizadas por los/las servidores/as, manteniéndose como los principales factores de incidencia en el comportamiento del indicador de ausentismo durante el periodo analizado.</t>
  </si>
  <si>
    <t>L6-GTH-020</t>
  </si>
  <si>
    <t>Provisión de Planta</t>
  </si>
  <si>
    <t>Establecer el número de ingresos para proveer la planta de personal</t>
  </si>
  <si>
    <t>"Vinculación: acto de establecer oficialmente la relación entre un/a servidor/a y la entidad mediante el nombramiento
Vacante: puesto de trabajo disponible la entidad y que necesita ser ocupado por un/a servidor/a."</t>
  </si>
  <si>
    <t>Provisión de Planta = V2 - V1</t>
  </si>
  <si>
    <t>Número de vinculaciones realizadas según dependencia i, durante el periodo t.</t>
  </si>
  <si>
    <t>"Número total de vacantes por proveer en la dependencia i, durante el periodo t.
(Corresponde al total de cargos vacantes disponibles para ser gestionados)"</t>
  </si>
  <si>
    <t>Marzo
Se evidencia una reducción en el número de servidores/as vinculados/as para este mes en comparación con los meses de Enero y Febrero, dentro de la ampliación de los 77 cargos de la planta se vincularon 3 personas y los otros cargos corresponden a servidores/as que se han desvinculado y se procede a ocupar las vacantes.
Al cierre del mes de febrero 3 cargos vacantes se encuentran pendientes por definir a que dependencia corresponden, por parte del equipo Directivo, por lo cual se suman a la Subdirección General Técnica y Territorial.
Se continua con la solicitud a los/las servidores/as para firmar el documento de revocatoria de nombramiento ( En caso de que, con ocasión de las actividades de verificación adelantadas por la entidad, y con base en información recibida con posterioridad al nombramiento, se evidencie que no se cumple con alguno de los requisitos o competencias exigidos para el cargo, la entidad procederá a hacer efectiva la revocatoria del acto administrativo de nombramiento), eso con el fin de tener los tiempos necesarios para hacer la correspondiente validaciones de titulos ante las instituciones educativas.</t>
  </si>
  <si>
    <t>Logros:
Avanzar en la vinculación de 67 de los 77 cargos de la ampliacion de la planta a costo cero.</t>
  </si>
  <si>
    <t>Durante el mes de abril se evidencia una disminución en el número de vinculaciones en comparación con los meses anteriores. Esta variación se explica porque, durante el primer trimestre, se logró vincular a la mayoría de los servidores previstos en el proceso de ampliación de la planta de personal a costo cero.</t>
  </si>
  <si>
    <t>Durante este mes no se presentó ninguna dificultad en el proceso de vinculación. Se realizaron los acercamientos a los candidatos, lo que permitió seleccionar al más idóneo para ocupar el cargo. Asimismo, las personas vinculadas entregaron oportunamente los documentos requeridos para su vinculación.</t>
  </si>
  <si>
    <t>L6-GTH-021</t>
  </si>
  <si>
    <t xml:space="preserve">Tasa de Retiros </t>
  </si>
  <si>
    <t>Medir la proporción de servidores de planta que se retiran de la entidad, en relación con el total de personal activo"</t>
  </si>
  <si>
    <t xml:space="preserve">"Retiro: acción mediante la cual un/a servidor/a deja de formar parte de la entidad.
Insubsistencia: situación en la que un/a servidor/a es retirado/a de sus funciones debido a la facultada discrecional del nominador/a."	</t>
  </si>
  <si>
    <t>(V1 / V2 ) x 100</t>
  </si>
  <si>
    <t>Número de personas que se retiran de la entidad por la causal i en el nivel j durante el periodo t</t>
  </si>
  <si>
    <t>Número total de personas que se retiran en el nivel j durante el periodo t</t>
  </si>
  <si>
    <t>MARZO
En este mes se presentaron 6 renuncias voluntarias de servidores/as manteniendo la misma constante respecto al mes anterior.</t>
  </si>
  <si>
    <t>DIFICULTADES
De las 6 personas que presentaron su renuncia solo 1 ex servidor/a entrego el formato 018, 1 ex servidor/a se encuentra pendiente de entrega del formato 018 y 4 ex servidores/as aún se encuentran dentro del rango de tiempo establecido para la entrega del formato. Desde la Subdirección de Gestión Humana se sigue prestando el acompañamiento para que se cumplan los tiempos de entrega establecidos.</t>
  </si>
  <si>
    <t>Durante el mes de abril se evidencian 2 retiros por insubsitencias y 1 renuncia voluntaria, en comparación con los meses anteriores hubo una disminución en las renuncias voluntarias.</t>
  </si>
  <si>
    <t>Logros:
Se realizo la actualización del formato 018 de entrega del cargo.
Se esta trabajando en la actualización del procedimiento GTH-PR-013 para evitar el riesgo de fuga o pérdida de información debido al plazo de entrega del cargo  ( 10 días hábiles) por desvinculación de los/las servidores/as.
Se realizó acompañamiento a los/as 3 ex servidores/as, 1 exservidora entregó en los tiempos establecidos el formato 018 y los otros 2 ex servidores/as se encuentran en proceso de entrega del formato.
Dificultades:
Se evidencia demora en la recolección de las firmas del formato 018 por parte de las personas responsables de cada dependencia.</t>
  </si>
  <si>
    <t xml:space="preserve">R6. La gestión institucional y territorial es ágil, eficiente y coordinada en la prestación de servicios de búsqueda de personas dadas por desaparecidas													</t>
  </si>
  <si>
    <t>L6-GTH-022</t>
  </si>
  <si>
    <t>Tasa de Rotación de personas</t>
  </si>
  <si>
    <t>Establecer la rotación de personal atribuida a las diferentes causales de retiro para el total de la Entidad y  por nivel</t>
  </si>
  <si>
    <t>"Vinculación: acto de establecer oficialmente la relación entre un/a servidor/a y la entidad mediante el nombramiento
Retiro: acción mediante la cual un/a servidor/a deja de formar parte de la entidad."</t>
  </si>
  <si>
    <t>(V1/(V2+V3))*100</t>
  </si>
  <si>
    <t>Número cargos provistos en la planta de personal en el nivel j al inicio del periodo t</t>
  </si>
  <si>
    <t>Número de cargos provistos al final de periodo en el nivel j al final del periodo</t>
  </si>
  <si>
    <t>Durante el mes de Marzo se mantiene el bajo número de personas que se desvinculan, en comparación con el número de ingresos</t>
  </si>
  <si>
    <t>Se puede evidenciar una baja rotación de personal
Como logro institucional:
Se pudo garantizar la vinculación de los nuevos servidores/as en los tiempos establecidos por la Subdirección de Gestión Humana</t>
  </si>
  <si>
    <t>Se informa que durante el mes de abril se evidenció una reducción en las vinculaciones en comparación con el primer trimestre, periodo en el cual se alcanzó más del 90% de la vinculación de la planta, contempladas en el Decreto de ampliación de la planta a costo cero; asi mismo se evidencia la reducción de los retiros voluntarios de los servidores.</t>
  </si>
  <si>
    <t>Logros:
Se esta trabajando en las mejoras del procedimiento GTH-PR-013 Vinculación y Retiro con el fin de evitar riesgo de fuga o pérdida de información debido al plazo de entrega del cargo.
Se realizó la actualización del formato 018- entrega de elementos para el retiro del servicio
Dificultades:
Se evidencia demora en la recolección de las firmas del formato 018 por parte de las personas responsables de cada dependencia.</t>
  </si>
  <si>
    <t>Número de acciones implementadas en la ruta de acceso a territorios complejos</t>
  </si>
  <si>
    <t>Realizar seguimiento a las acciones de gestión del riesgo público adelantadas por el equipo de prevención y protección, en el marco de la implementación del componente de Gestión del Riesgo del Sistema Integral de Bienestar y Cuidado - SIBICU para facilitar el ingreso a territorios de dificil acceso.</t>
  </si>
  <si>
    <t>Conteo mensual de las acciones adelantadas por el equipo de Prevención y Protección para facilitar el acceso institucional a territorios complejos, incluyendo mesas de análisis de contexto, registros de ingresos imposibilitados, accesos logrados a territorios y emisión de avales para comisiones en terreno, con base en la información registrada en las matrices institucionales de seguimiento.</t>
  </si>
  <si>
    <t>Sumatoria de la variable 1</t>
  </si>
  <si>
    <t>Cantidad de acciones de tipo i, implementadas en el periodo t, en el territorio d</t>
  </si>
  <si>
    <t xml:space="preserve">"1. Mesas de análisis de contexto: La información de los datos se extrae de la “MatrizDeMonitoreo_GestiónDelRiesgo_V1”, fecha ejecucion de la actividad.
2.1.Ingresos Imposibilitados: La información se extrae de la matriz “2026_Matriz _Acceso_a_Territorios_Complejos”, información territorio imposibilitado, fecha en que se imposibilito el acceso.
2.2.Territorios a los que se pudo acceder: La información se extrae de la matriz “2026_Matriz _Acceso_a_Territorios_Complejos”, información territorio imposibilitado, fecha de acceso.
3. Avales: La información se extrae de la “Matriz de Seguimiento a Comisiones 2026”, envío aval analista PYP."												</t>
  </si>
  <si>
    <t>no hay reporte cualitativo</t>
  </si>
  <si>
    <t>1. Mesas de Análisis de Contexto:
Durante este periodo se realizaron catorce (14) mesas de análisis de contexto, distribuidas así: Noroccidente (2), Norte (1), Sur (3) y Suroccidente (8). En estos espacios se promovió la articulación con la Fuerza Pública, organizaciones de la sociedad civil, entidades territoriales y organismos de control, con el fin de apoyar la valoración de riesgos en zonas con situaciones complejas de orden público.
2. Ingresos imposibilitados:
Durante el periodo reportado no se registraron ingresos imposibilitados a territorios.
3. Territorios a los que se pudo acceder:
Durante el mes de marzo se logró el acceso al municipio de Las Mesas, en la Regional Suroccidente. El 11 de marzo de 2026 se ingresó a las veredas Las Mesas, Fátima y Pompeya, así como al resguardo Aponte, para realizar actividades de pedagogía y toma de muestras. Este ingreso fue posible tras la verificación con autoridades locales, quienes confirmaron que no había presencia ni acciones de actores armados en la zona
4. Avales:
Frente a este periodo se registraron 150 avales gestionados por los analistas de prevención y protección de las regionales; todos los avales emitidos son favorables, lo que destaca el compromiso y la revisión técnica del equipo. La mayoría de las comisiones estuvieron relacionadas con actividades de prospección, recuperación de cuerpos, recepción de solicitudes de búsqueda y toma de muestras de ADN.
En este periodo, en la regional Oriente se concentraron los registros más altos con 46 avales, del total emitido en el mes de marzo. Esto demuestra el gran volumen de trabajo técnico y operativo manejado por el analista en esta zona. A continuación, los registros por cada regional de acuerdo al número de avales realizados:
CENTRO 13
NOROCCIDENTE 16
NORORIENTE 19
NORTE 21
OCCIDENTE 7
ORIENTE 46
SUR 11
SUROCCIDENTE 17</t>
  </si>
  <si>
    <t>Logros:
Se logró el acceso seguro con dialogo en el municipio de Las Mesas de la regional Suroccidente.
Se gestionaron 150 avales, todos con concepto favorable, con comisiones centradas en prospección, recuperación de cuerpos, recepción de solicitudes de búsqueda y toma de muestras de ADN.
Dificultades: 
No se presentaron</t>
  </si>
  <si>
    <t>1. Mesas de Análisis de Contexto:
Durante este periodo se realizaron catorce (24) mesas de análisis de contexto, distribuidas así: Regional Norte (3), Regional Sur (10) Regional Suroccidente (11). En estos espacios se promovió la articulación con la Fuerza Pública, organizaciones de la sociedad civil, entidades territoriales y organismos de control, con el fin de apoyar la valoración de riesgos en zonas con situaciones complejas de orden público.
2. Ingresos imposibilitados:
Durante el periodo se reportó un (1) ingreso imposibilitado en el municipio de Puerto Rico, Meta, debido a la presencia de grupos armados no estatales en la zona, donde se han registrado confrontaciones asociadas a disputas por el control territorial y de corredores estratégicos, así como por otros intereses relacionados con economías ilícitas, lo que ha generado condiciones de riesgo que limitan el acceso al territorio.
3. Territorios a los que se pudo acceder:
Durante el periodo reportado no se registraron territorios a los que se pudo acceder.
4. Avales:
Frente a este periodo se registraron 123 avales gestionados por los analistas de prevención y protección de las regionales; todos los avales emitidos son favorables, lo que destaca el compromiso y la revisión técnica del equipo. La mayoría de las comisiones estuvieron relacionadas con actividades de prospección, recuperación de cuerpos, recepción de solicitudes de búsqueda y toma de muestras de ADN.
En este periodo, en la regional Oriente se concentraron los registros más altos con 42 avales, del total emitido en el mes de abril. Esto demuestra el gran volumen de trabajo técnico y operativo manejado por el analista en esta zona. A continuación, los registros por cada regional de acuerdo al número de avales realizados:
CENTRO                      14
NOROCCIDENTE        22
NORORIENTE             14
NORTE                         11
ORIENTE                      42
SUR                                 5
SUROCCIDENTE         15</t>
  </si>
  <si>
    <t>Logros:
Durante abril de 2026 se consolidaron espacios de articulación interinstitucional a través de la realización de 24 mesas de análisis de contexto, orientadas a la valoración de riesgos en territorios con condiciones complejas de orden público. De igual forma, se gestionaron 123 avales favorables que respaldaron el desarrollo de acciones misionales en campo, destacándose la regional Oriente por su alto volumen operativo. Estos resultados reflejan el compromiso técnico del equipo para garantizar intervenciones seguras, incluso en escenarios con restricciones de acceso al territorio.
Dificultades: 
No se presentaron</t>
  </si>
  <si>
    <t xml:space="preserve">Subdirección de Gestión Humana		</t>
  </si>
  <si>
    <t>L6-GTH-026</t>
  </si>
  <si>
    <t xml:space="preserve">Tasa global de apropiación de la Política Interna de Género										</t>
  </si>
  <si>
    <t xml:space="preserve">Fortalecer la apropiación de la Política Interna de Género. 													</t>
  </si>
  <si>
    <t xml:space="preserve">"Política de Género: Herramienta para diseñar, organizar, implementar y hacer seguimiento a líneas, estrategias y acciones que de manera decidida propendan por el reconocimiento de las necesidades, particularidades, experiencias, saberes, intereses de mujeres, niñas y personas LGBTIQ+ en perspectiva con lo interseccional, tanto en la misionalidad de la búsqueda
humanitaria y extrajudicial, como en las condiciones laborales de quienes están vinculadas/es/os a la entidad.                                                                                                                                                                                          Protocolo La Ruda: Ruta para abordar integralmente los casos en los que se presenten conductas relacionadas con violencias basadas en género y/o discriminación por razón de violencias basadas en género, acoso sexual y/o discriminación por razón de racialización, religión, nacionalidad, ideología política y/o filosófica, sexo, orientación sexual, discapacidad y demás razones de discriminación en el ámbito laboral de la UBPD de acuerdo con los enfoques y competencias.                                                                                                                                                                                                                                                                                                                            Capacitaciones en género: Deberá realizarse capacitaciones orientadas a la equidad de género, la no discriminación y la prevención de las violencias basadas en género."													</t>
  </si>
  <si>
    <t>IIPG = Sumatoria Peso Asignado X Valor alcanzado / número total de dimensiones evaluadas</t>
  </si>
  <si>
    <t>Valor Alcanzado en cada dimensión (0 a 100)</t>
  </si>
  <si>
    <t>Peso Asignado a Cada Dimensión</t>
  </si>
  <si>
    <t>Número total de dimensiones evaluadas</t>
  </si>
  <si>
    <t>&gt;3</t>
  </si>
  <si>
    <t>El avance de este indicador se presentará de manera semestral o antes si se requiere, conforme con lo que se establezca por el Comité Directivo.</t>
  </si>
  <si>
    <t>El reporte es semestrall. no hay linea base y tampoco meta y fuente de información</t>
  </si>
  <si>
    <t>Marco estratégico de Tecnologías, comunicaciones y seguridad de la Información Implementado</t>
  </si>
  <si>
    <t>OTIC</t>
  </si>
  <si>
    <t>L6-GTI-001</t>
  </si>
  <si>
    <t>Disponibilidad conectividad nacional</t>
  </si>
  <si>
    <t>Medir la disponibilidad para que los usuarios internos y externos tengan acceso ininterrumpido a los servicios tecnológicos críticos y mejorar la satisfacción de los mismos.</t>
  </si>
  <si>
    <t>Porcentaje del tiempo de actividad Uptime %, arrojado por la herramienta Entuity</t>
  </si>
  <si>
    <t>% Uptime</t>
  </si>
  <si>
    <t>L6-GTI-002</t>
  </si>
  <si>
    <t>Disponibilidad de la plataforma PAS (Firewall, WAF, DLP, etc.)</t>
  </si>
  <si>
    <t>Garantizar la eficiencia, accesibilidad y calidad de los servicios tecnológicos de la Unidad de Búsqueda de Personas Dadas por Desaparecidas (UBPD), con el fin de optimizar los procesos de búsqueda, gestión de información y apoyo logístico. Asegurar que al menos el 95% de los usuarios internos y externos tengan acceso ininterrumpido a los servicios tecnológicos críticos y mejorar la satisfacción de los mismos en un 90%, calculando en encuestas periódicas de evaluación de calidad de servicio.</t>
  </si>
  <si>
    <t>Porcentaje de tiempo en linea (UP) arrojado de la herramienta BREAKDOWNS</t>
  </si>
  <si>
    <t xml:space="preserve">% de tiempo en linea (UP) </t>
  </si>
  <si>
    <t>L6-GTI-003</t>
  </si>
  <si>
    <t>Crecimiento en transformación digital de la entidad</t>
  </si>
  <si>
    <t>El objetivo de transformación digital de la UBPD es potenciar sus capacidades de búsqueda y gestión de información mediante la adopción de tecnologías avanzadas, que permiten la digitalización y automatización de procesos claves. Esto facilitará el acceso rápido y seguro a la información, mejorará la eficiencia en la respuesta a las familias de las personas desaparecidas, y fortalecerá la transparencia y la trazabilidad en cada etapa del proceso. A través de esta transformación, la UBPD busca brindar un servicio más ágil, accesible y confiable, contribuyendo a su misión institucional y a la construcción de la confianza pública.</t>
  </si>
  <si>
    <t>último dato</t>
  </si>
  <si>
    <t>L6-GTI-004</t>
  </si>
  <si>
    <t>Disponibilidad de la infraestructura</t>
  </si>
  <si>
    <t>Calcular la proporción de tiempo en que la infraestucutra puede estar productiva respecto al tiempo total en que dicho servicio esta disponible.</t>
  </si>
  <si>
    <t>Porcentaje del tiempo, arrojado por la herramienta NAGIOS</t>
  </si>
  <si>
    <t>L6-GTI-005</t>
  </si>
  <si>
    <t>Aprovechamiento de la infraestructura dispuesta</t>
  </si>
  <si>
    <t>Medir el uso de la infraestructura solicitada Vs lo usado para cada servicio de las areas de la Entidad</t>
  </si>
  <si>
    <t>L6-GTI-006</t>
  </si>
  <si>
    <t>Cumplimiento Cronogramas de desarrollos</t>
  </si>
  <si>
    <t>Medir la efectividad con la cual se desarrollan los proyectos basandose en los requerimientos levantados y en los cronogramas desarrollados</t>
  </si>
  <si>
    <t>Avance real / avance planeado</t>
  </si>
  <si>
    <t>Avance real</t>
  </si>
  <si>
    <t>Avance planeado</t>
  </si>
  <si>
    <t>Porcentaje de Cumplimiento de la Planeación en Gestión del Riesgo</t>
  </si>
  <si>
    <t>Medir  la alineación entre la planeación y la ejecución operativa..</t>
  </si>
  <si>
    <t xml:space="preserve">El indicador que mide el nivel de ejecución de la planeación en gestión del riesgo. Compara el volumen de actividades proyectadas frente a las efectivamente realizadas para asegurar que la operatividad en territorio cuente con los respaldos de seguridad y articulación institucional programados.											</t>
  </si>
  <si>
    <t>(Variable 1 / Variable 2)*100</t>
  </si>
  <si>
    <t>Número total de actividades ejecutadas en el período t.</t>
  </si>
  <si>
    <t>Número total de actividades planeadas en el período t.</t>
  </si>
  <si>
    <t>1. Mesas de análisis de contexto: La información de los datos se extrae de la “MatrizDeMonitoreo_GestiónDelRiesgo_V1”.</t>
  </si>
  <si>
    <t>Frente al mes de marzo de 2026, se reporta la planeación de catorce (14) acciones y la ejecución efectiva de catorce (14) Mesas de Análisis de Contexto. Esto corresponde a un cumplimiento del 100% entre lo planeado y lo ejecutado para el periodo.
Distribución por regional:
Noroccidente: 2
Norte: 1
Sur: 3
Suroccidente: 8
Estas mesas tuvieron como propósito fortalecer las condiciones de seguridad desde el componente de prevención y protección, mediante la articulación con Fuerza Pública, entidades territoriales, organizaciones de la sociedad civil y otros actores relevantes. En este marco, se promovieron espacios de coordinación para la identificación de necesidades, la verificación de condiciones en territorio y el desarrollo de acciones conjuntas orientadas a mitigar riesgos en contextos de intervención.
En cuanto a los avances, se destaca una articulación efectiva en la Regional Suroccidente, particularmente en municipios como Armenia, Pereira, Dosquebradas y Jamundí, donde se consolidaron canales de comunicación para la verificación oportuna de condiciones de seguridad y el acompañamiento a las actividades en territorio. Asimismo, se lograron compromisos institucionales para el fortalecimiento de capacidades mediante capacitaciones, apoyo logístico y coordinación interinstitucional.
De manera general, las mesas permitieron fortalecer la articulación territorial, mejorar el flujo de información para la toma de decisiones y generar compromisos orientados a la continuidad de los procesos, como la programación de reuniones de seguimiento, designación de enlaces institucionales y promoción de espacios de capacitación.</t>
  </si>
  <si>
    <t>Logros:
1. Reactivación operativa del indicador: En marzo se ejecutaron 14 mesas, superando el acumulado de enero y febrero (5), lo que evidencia un mayor despliegue territorial y dinamización del proceso.
2. Fortalecimiento de la articulación y visibilidad institucional: Las mesas permitieron consolidar la coordinación con actores clave (Fuerza Pública, entidades territoriales y organizaciones sociales), posicionando el mandato de la UBPD en los territorios.
3. Mejora en la verificación de condiciones de seguridad: Las mesas facilitaron el acceso a información oportuna sobre dinámicas territoriales, aportando a la toma de decisiones para el desarrollo de misiones.</t>
  </si>
  <si>
    <t>Durante el mes de abril de 2026, se reporta la planeación de veinticuatro (24) acciones y la ejecución efectiva de veinticuatro (24) Mesas de Análisis de Contexto. Esto corresponde a un cumplimiento del 100% entre lo planeado y lo ejecutado para el periodo.
Distribución por regional
Norte: 3
Sur: 10
Suroccidente: 11
1. Regional Norte
Protección de Sitios de Interés Forense y Relacionamiento Institucional:
1.1. En esta regional, el trabajo de los analistas se centró en la mediación entre el desarrollo de infraestructura y el derecho a la búsqueda. La gestión cualitativa más relevante se dio en la articulación para el proyecto del Canal del Dique. El objetivo acá fue facilitar el diálogo con las autoridades locales y las empresas constructoras para asegurar que el avance de la obra no comprometa los lugares donde se presume la existencia de cuerpos. El logro fundamental aquí fue posicionar la importancia forense del territorio ante actores que, de otro modo, priorizarían únicamente el avance de la obra civil.
2. Regional Sur
Construcción de Confianza Institucional en Escenarios de Riesgo:
2.1. La labor en este territorio fue de carácter preventivo y de apertura de canales. Con diez mesas de análisis, los analistas realizaron un diagnóstico profundo de las dinámicas de orden público. La gestión cualitativa consistió en:
2.2. Articulación con entidades territoriales como la fuerza pública: Se establecieron rutas de protección para los equipos en zonas donde el control territorial es volátil.
2.3. Articulación con actores humanitarios como el Comité Internacional de la Cruz Roja (CICR) y la Misión de Apoyo al Proceso de Paz en Colombia de la OEA: El trabajo se enfocó en sensibilizar a los funcionarios locales sobre el carácter humanitario de la UBPD, logrando que el acceso a la información sea fluido y que las organizaciones locales de víctimas perciban un respaldo institucional coordinado.
3. Regional Sroccidente
Enfoque Étnico con comunidades indígenas:
3.1. En esta regional, la labor con la JAC (Juntas de Acción Comunal): En la Vereda Pueblo Rico (Quimbaya), se logró que proporcionaran conocimiento local sobre riesgos del terreno y dinámicas de la vereda.
3.2. Se identificó que la Organización Regional Indígena del Quindío no conocía el mandato de la UBPD. Por ello, se desarrolló un trabajo articulado para dar a conocer su labor, respetando la autonomía del pueblo Emberá. Como resultado, los 11 cabildos y 6 resguardos de la región abrieron sus puertas para adelantar un trabajo conjunto en las misiones de búsqueda.
3.3. Se establecieron alianzas con organismos de socorro, como la Cruz Roja y los Bomberos, en los municipios de Calarcá y Armenia, ya que se acordaron espacios de formación conjunta: la UBPD aporta el enfoque humanitario y el contexto de búsqueda, mientras que los organismos de socorro garantizan la seguridad técnica en la recuperación de cuerpos y la mitigación de riesgos asociados a la contaminación por armas.
3.4. Se articulo con la Secretaría de Gobierno de Armenia y la Comuna 13 permitió que la labor del GITT fuera integrada en los planes de monitoreo de cámaras de seguridad ciudadana, protegiendo a los analistas de riesgos ordinarios como el hurto o el fleteo en zonas críticas.
3.5. Gestión en el Valle del Cauca: En Pradera y San Pedro, el enfoque fue el acceso a sitios específicos como el Resguardo Ket Wala y cementerios municipales. Los analistas lograron que las autoridades locales y los representantes de víctimas de estos municipios asumieran un compromiso de acompañamiento físico.</t>
  </si>
  <si>
    <t>1. El equipo mostró dinamismo (Analistas PyP): Se evidenció una mejora y en el número de mesas de análisis de contexto, pasando de 14 realizadas en el mes de marzo a 24 gestionadas en abril.
2. Fortalecimiento en la articulación y visibilidad de la UBPD: Las mesas permitieron consolidar la coordinación con actores clave (Fuerza Pública, entidades territoriales y organizaciones sociales).
3. Mejora en las condiciones de seguridad para las comisiones: Las mesas facilitaron el acceso a información oportuna sobre dinámicas territoriales, aportando a la toma de decisiones para el desarrollo de misiones</t>
  </si>
  <si>
    <t>L6-GTH-023</t>
  </si>
  <si>
    <t>Porcentaje de carpetas actualizadas en el periodo</t>
  </si>
  <si>
    <t>Determinar el grado de cumplimiento en la actualización de las carpetas de historias laborales de servidores.</t>
  </si>
  <si>
    <t>Historias laborales: Expediente o archivo que contiene toda la información relacionada con la vida laboral de un/a servidor/a, utilizado para fines administrativos, legales y de control.</t>
  </si>
  <si>
    <t>Sumatoria de los porcentajes de carpetas (historias laborales ) actualizadas por vigencia</t>
  </si>
  <si>
    <t>Número de vigencias por actualizar</t>
  </si>
  <si>
    <t>Se registra avence trimestral en abril</t>
  </si>
  <si>
    <t>Para realizar el análisis cualitativo de las historias laborales durante el primer trimestre del año, se tiene en cuenta la siguiente información histórica de transferencias al Archivo Central:
En 2018 se transfirieron 71 carpetas.
En 2019 se transfirieron 86 carpetas.
En 2020 se transfirieron 61 carpetas.
En 2021 se transfirieron 15 carpetas.
En 2022 se transfirieron 9 carpetas.
Es importante señalar que estas carpetas actualmente reposan en el Archivo Central, por lo cual ya no hacen parte del conteo general de expedientes en custodia de la Subdirección de Gestión Humana.
Durante el trimestre, se priorizaron las vigencias 2018, 2019 y 2024, en las cuales se adelantaron actividades de inclusión documental, organización, foliación, actualización de hojas de control y del inventario documental.
Para la vigencia 2026, se desarrollaron procesos de creación de historias laborales, organización, foliación, así como la elaboración de hojas de control y del inventario documental correspondiente.
Adicionalmente, se realiza la actualización diaria del Formato Único de Inventario Documental. De manera complementaria, se llevan a cabo jornadas de inserción electrónica de documentos remitidos por  Bienestar, Nómina, Capacitación, Seguridad y Salud en el Trabajo, Gestión de Personal y Comisiones, siendo esta última la que reporta el mayor volumen de documentos para incorporación en las historias laborales.</t>
  </si>
  <si>
    <t>Principales logros
Se avanzó en la organización de las historias laborales correspondientes a las vigencias 2018, 2019 y 2024, mediante actividades de inclusión documental, foliación y actualización de hojas de control e inventario documental.
Se logró la conformación de las historias laborales correspondientes a la vigencia 2026, derivadas de las vinculaciones efectuadas en dicho periodo, incluyendo su organización técnica.
Se mantiene la actualización diaria del Formato Único de Inventario Documental, lo que fortalece el control y trazabilidad de la información.
Se implementaron jornadas de inserción electrónica de documentos, optimizando la gestión documental y reduciendo rezagos en la incorporación de soportes.
Se evidencia una depuración progresiva del archivo de gestión, reflejada en la transferencia de expedientes al Archivo Central en vigencias anteriores, lo que contribuye a una mejor administración del volumen documental en custodia.
Principales dificultades
Alta recepción de documentos por parte de diferentes procesos, especialmente del proceso de comisiones, lo que incrementa la carga operativa para su incorporación oportuna en las historias laborales.
Rezagos operativos asociados a la intervención de múltiples vigencias, lo que exige distribuir esfuerzos entre la organización de los expedientes y la gestión de los documentos actuales.
Limitaciones en la capacidad operativa frente al volumen de actividades requeridas (organización, foliación e inventario), lo que puede impactar los tiempos.
Dependencia de la entrega oportuna de documentos por parte de las áreas productoras, lo que incide directamente en la actualización completa de las historias laborales.</t>
  </si>
  <si>
    <t xml:space="preserve">
Nota: Se precisa que las historias laborales son objeto de constante actualización, en función de las novedades y situaciones administrativas que se generan a lo largo de la vinculación de los/as servidores/as con la entidad</t>
  </si>
  <si>
    <t>L6_SGH_024</t>
  </si>
  <si>
    <t>Practicantes o pasantes vinculados</t>
  </si>
  <si>
    <t>Medir la cantidad de practicantes y/o pasantes que apoyan el mandato de la UBPD</t>
  </si>
  <si>
    <t>Pasantes y practicantes: estudiantes de educación superior que vinculan su formación académica con la misionalidad institucional a través de una práctica o pasantía profesional en la entidad, con el objetivo de adquirir experiencia laboral en áreas relacionadas con sus estudios e intereses.</t>
  </si>
  <si>
    <t>Número de pasantes o prácticantes vinculados para el periodo t</t>
  </si>
  <si>
    <t>Número de cupos de práctica o pasantías planificados para el periodo t</t>
  </si>
  <si>
    <t>Primer reporte en el mes de julio</t>
  </si>
  <si>
    <t>L6_SGH_025</t>
  </si>
  <si>
    <t>Medir la cantidad de voluntarios que se vinculan a la UBPD</t>
  </si>
  <si>
    <t>Voluntarios/as/es: son personas naturales o jurídicas que, de manera libre, responsable y sin remuneración económica ni vínculo laboral, aportan su tiempo, habilidades, saberes y experiencias a la labor humanitaria y extrajudicial de la entidad; su participación y contribución tiene raíz en la solidaridad y el compromiso ético por el alivio del sufrimiento de quienes buscan a sus seres queridos.</t>
  </si>
  <si>
    <t>Número de voluntarios vinculados en el periodo t</t>
  </si>
  <si>
    <t>Número de cupos de voluntariado planificados para el periodo t</t>
  </si>
  <si>
    <t>Estrategias de Transferencia del Conocimiento en el PIC</t>
  </si>
  <si>
    <t>Medir el grado en que el Plan Institucional de Capacitación (PIC) incorpora mecanismos formales de transferencia del conocimiento en las actividades de formación, con el fin de garantizar la circulación, apropiación y aprovechamiento institucional de los aprendizajes generados.</t>
  </si>
  <si>
    <t>Este indicador cuantifica la proporción de actividades de capacitación ejecutadas en el marco del PIC que cuentan con una estrategia de transferencia del conocimiento diseñada, implementada y gestionada por el área de Gestión Humana.
Se entiende por estrategia de transferencia del conocimiento el conjunto de acciones planificadas orientadas a socializar, replicar o sistematizar los aprendizajes adquiridos en los procesos formativos, tales como réplicas internas, talleres de socialización, elaboración de guías, documentos de lecciones aprendidas, memorias institucionales u otros mecanismos definidos por la entidad.</t>
  </si>
  <si>
    <t>Número de capacitaciones con estrategia de transferencia implementadas</t>
  </si>
  <si>
    <t xml:space="preserve">Número total de actividades programadas </t>
  </si>
  <si>
    <t>Primer reporte en el mes de abril</t>
  </si>
  <si>
    <t>Con el fin de estructurar el Plan Institucional de Capacitación 2026 en concordancia con la misionalidad de la UBPD y las necesidades de aprendizaje identificadas, se ajustaron los requerimientos priorizados durante la vigencia 2025 para garantizar su alineación con las necesidades de cada dependencia. En este marco, se programaron acciones de capacitación derivadas de los Planes de Aprendizaje en Equipo (PAE) y de capacitaciones externas orientadas al fortalecimiento de competencias y habilidades de las y los servidores, con el propósito de promover posteriormente estrategias de transferencia del conocimiento en sus equipos de trabajo. En consecuencia, durante el primer trimestre no se evidenciaron ejercicios de transferencia, dado que el PIC fue aprobado en abril y se prevé que estas acciones inicien a partir del tercer trimestre</t>
  </si>
  <si>
    <t>Durante el proceso de estructuración del PIC, se evidenció la importancia de propiciar espacios de diálogo orientados a corroborar las necesidades de aprendizaje de cada dependencia, en tanto que estos permitieron no solo confirmar dichas necesidades, sino también identificar estrategias y condiciones que favorezcan un mayor aprovechamiento de los escenarios de aprendizaje promovidos desde el PIC.
Entre los principales logros se destaca la creación de mesas técnicas de trabajo, en las cuales la entidad, de manera articulada con la institución educativa seleccionada, podrá construir estrategias y metodologías acordes con las necesidades de las dependencias, con el fin de garantizar la apropiación y aplicación efectiva de los conocimientos abordados.
Por otro lado, se espera que los aprendizajes adquiridos por las servidoras y los servidores se traduzcan en procesos de transferencia del conocimiento, mediante estrategias definidas por las propias dependencias para socializar y compartir dichos aprendizajes con sus equipos de trabajo, contribuyendo así al fortalecimiento de las capacidades institucionales y al cumplimiento efectivo de sus funciones.</t>
  </si>
  <si>
    <t>Se hace necesario validar los ajustes hechos a la ficha durnate el año. Como referencia se toma el modelo enviado para el primer reporte</t>
  </si>
  <si>
    <t>L6-GTH-027</t>
  </si>
  <si>
    <t>Porcentaje casos cerrados por el Protocolo La Ruda</t>
  </si>
  <si>
    <t>Realizar seguimiento a los casos cerrados presentados para la aplicación del Protocolo La Ruda.</t>
  </si>
  <si>
    <t>número de casos cerrados en el periodo</t>
  </si>
  <si>
    <t>Número de casos recibidos en el periodo</t>
  </si>
  <si>
    <t>Primer reporte en julio</t>
  </si>
  <si>
    <t>L6-GTH-028</t>
  </si>
  <si>
    <t xml:space="preserve">Promedio de tiempos de gestión de casos del Protocolo la Ruda </t>
  </si>
  <si>
    <t>Medir el tiempo promedio de gestión entre la recepción y cierre de los casos orientados a través del Protocolo La Ruda.</t>
  </si>
  <si>
    <t>Sumatoria de los días transcurridos entre la recepción y cierre de todos los casos orientados por el protocolo La Ruda en el período</t>
  </si>
  <si>
    <t>Número de casos orientados por el Protocolo La Ruda en el periodo</t>
  </si>
  <si>
    <t>L6-GTH-029</t>
  </si>
  <si>
    <t>Porcentaje de Aprehensión del Conocimiento</t>
  </si>
  <si>
    <t>Medir el nivel de apropiación y comprensión de los conocimientos adquiridos por las y los participantes en los procesos de capacitación, a partir de su capacidad para comprender, retener y aplicar los contenidos abordados, con el propósito de evaluar la efectividad e impacto de las acciones formativas desarrolladas.</t>
  </si>
  <si>
    <t>Corresponde al promedio porcentual de los resultados obtenidos por las y los participantes en las evaluaciones aplicadas al finalizar cada proceso formativo.</t>
  </si>
  <si>
    <t xml:space="preserve">Puntaje obtenido </t>
  </si>
  <si>
    <t>Puntaje máximo posible</t>
  </si>
  <si>
    <t>En enero, el indicador alcanza un 91%, lo que muestra que, en términos generales, las y los participantes lograron comprender y retener los contenidos desarrollados en los procesos de capacitación. Si bien aún hay un margen de mejora, el resultado refleja que las acciones formativas están siendo efectivas en la transmisión del conocimiento y en su apropiación inicial.
Para febrero, el indicador presenta un aumento al 96%, evidenciando una mejora significativa en la aprehensión del conocimiento. Este comportamiento sugiere que las estrategias formativas implementadas lograron una mayor conexión con las y los participantes, favoreciendo no solo la comprensión, sino también una mejor asimilación de los contenidos.</t>
  </si>
  <si>
    <t>En marzo, el indicador se ubica nuevamente en 91%, manteniéndose en un nivel alto aunque con una leve disminución frente al mes anterior. Esta variación puede estar asociada a factores como la complejidad de los temas abordados o las características de los grupos participantes; sin embargo, no representa una afectación estructural en la efectividad de los procesos formativos.</t>
  </si>
  <si>
    <t>Durante abril, el indicador alcanza un 93%, mostrando una recuperación frente al mes anterior y manteniendo una tendencia favorable. Este resultado ratifica que los procesos de capacitación continúan siendo pertinentes y comprensibles para las y los participantes, consolidando niveles adecuados de apropiación del conocimient</t>
  </si>
  <si>
    <t>Durante el periodo analizado, se evidencia un nivel sostenido de aprehensión del conocimiento, con resultados mensuales iguales o superiores al 91% y un promedio acumulado del 93%, lo que da cuenta de la efectividad de los procesos de capacitación desarrollados.
Se logra una adecuada apropiación de los contenidos por parte de las y los participantes, reflejada en su capacidad para responder satisfactoriamente a las evaluaciones, lo que sugiere no solo comprensión, sino también retención de los temas abordados.
Asimismo, se mantiene una tendencia estable a lo largo de los meses, lo que refleja consistencia en la calidad de los procesos formativos y en la capacidad institucional para garantizar espacios de aprendizaje efectivos.
Con respecto a las dificultades identificadas, se evidencia que no la totalidad de las personas participantes en las jornadas de capacitación desarrollan los test de conocimiento establecidos, situación que refleja resistencia o baja apropiación frente a este componente del proceso formativo.</t>
  </si>
  <si>
    <t>L6-GTI-008</t>
  </si>
  <si>
    <t>Efectividad de los controles de seguridad de la información</t>
  </si>
  <si>
    <t>Medir la efectividad de los controles aplicados a la Gestión de Seguridad de la Información</t>
  </si>
  <si>
    <t>L6-GTI-009</t>
  </si>
  <si>
    <t>Porcentaje de atención de incidentes</t>
  </si>
  <si>
    <t>(Número de solicitudes e incidentes atendidas/Número de solicitudes e incidentes recibidas)*100</t>
  </si>
  <si>
    <t>No. de solicitudes e incidentes atendidas</t>
  </si>
  <si>
    <t>No. de solicitudes e incidentes recibidas en ARANDA</t>
  </si>
  <si>
    <t>L6-GTI-010</t>
  </si>
  <si>
    <t>Gestión de identidades</t>
  </si>
  <si>
    <t>Medir la  efectividad del control de acceso por sistema de información.</t>
  </si>
  <si>
    <t>(Número de desviaciones encontrados por sistema / Número de usuarios totales revisados de los sistemas validados )*100</t>
  </si>
  <si>
    <t>Número de desviaciones encontrados por sistema</t>
  </si>
  <si>
    <t xml:space="preserve">Número de usuarios totales revisados de los sistemas validados </t>
  </si>
  <si>
    <t>L6-GTI-011</t>
  </si>
  <si>
    <t>Gestión de vulnerabilidades</t>
  </si>
  <si>
    <t>Medir la cantidad de vulnerabilidades remediadas sobre la  cantidad de vulnerablidades identificadas a fin de mitigar los riesgos asociados a seguridad digital</t>
  </si>
  <si>
    <t>(No. vulnerabilidades remediadas y/o cerradas/
No. vulnerabilidades identificadas)*100</t>
  </si>
  <si>
    <t>No vulnerabilidades remediadas y/o cerradas</t>
  </si>
  <si>
    <t xml:space="preserve"> No de Vulnerabilidades identificadas </t>
  </si>
  <si>
    <t>L6-GTI-012</t>
  </si>
  <si>
    <t>Nuevos servicios puestos en funcionamiento</t>
  </si>
  <si>
    <t>Aumentar la implementación de nuevos servicios para mejorar la eficiencia operativa y ampliar la oferta de servicios, garantizando que se lancen con  éxito en términos de adopción y funcionalidad"</t>
  </si>
  <si>
    <t>(Nuevos servicios implementados/nuevos servicios por implementar)*100</t>
  </si>
  <si>
    <t>Nuevos servicios implementados</t>
  </si>
  <si>
    <t>Nuevos servicios por implementar</t>
  </si>
  <si>
    <t>Plan de gestión de cooperación técnica y financiera con actores de comunidad internacional y  sector privado implementado</t>
  </si>
  <si>
    <t>OAP</t>
  </si>
  <si>
    <t>L6-DPE-025</t>
  </si>
  <si>
    <t>Variación porcentual de los recursos de cooperación internacional recibidos por la UBPD</t>
  </si>
  <si>
    <t>Medir la variación porcentual de los recursos de cooperación internacional recibidos por la UBPD en 2025 en relación con los recursos recibidos en 2024</t>
  </si>
  <si>
    <t>((Monto Total de recursos aprobados en 2025 por actores de cooperación internacional y aliados estratégicos para acciones de apoyo a la UBPD – Monto total de recursos aprobados en 2024 por actores de cooperación internacional y aliados estratégicos para acciones de apoyo a la UBPD) / Monto total de recursos aprobados en 2024 por actores de cooperación internacional y aliados estratégicos para acciones de apoyo a la UBPD) * 100.</t>
  </si>
  <si>
    <t xml:space="preserve">Monto Total de recursos aprobados en 2025 por actores de cooperación internacional y aliados estratégicos para acciones de apoyo a la UBPD </t>
  </si>
  <si>
    <t xml:space="preserve">Monto Total de recursos aprobados en vigencia anterior por actores de cooperación internacional y aliados estratégicos para acciones de apoyo a la UBPD </t>
  </si>
  <si>
    <t>L6-DPE-026</t>
  </si>
  <si>
    <t xml:space="preserve"> Iniciativas nuevas aprobadas</t>
  </si>
  <si>
    <t xml:space="preserve">Medir el número de subvenciones o iniciativas de cooperación internacional y alianzas estratégicas que son aprobadas durante 2025 para apoyar la búsqueda humanitaria y extrajudicial, producto de las gestiones realizadas por la entidad con actores clave </t>
  </si>
  <si>
    <t>∑=V1t</t>
  </si>
  <si>
    <t>Número de subvenciones o iniciativas de cooperación internacional y alianzas estratégicas aprobadas durante 2025</t>
  </si>
  <si>
    <t>L6-DPE-027</t>
  </si>
  <si>
    <t>Alianzas formalizadas con el sector privado</t>
  </si>
  <si>
    <t>Medir el número de subvenciones o iniciativas que son aprobadas durante 2025 para apoyo del sector privado a la búsqueda</t>
  </si>
  <si>
    <t>Número de subvenciones o iniciativas aprobadas durante 2025 para apoyo del sector privado a la búsqueda</t>
  </si>
  <si>
    <t>Plan de seguimiento a la implementación del Modelo de Operación por Procesos - MOP misional en el nivel territorial, ejecutado</t>
  </si>
  <si>
    <t>L6-DPE-028</t>
  </si>
  <si>
    <t>Planes de mejoramiento formulados</t>
  </si>
  <si>
    <t>Cuantificar el número de planes de mejoramiento formulados para el Proceso de Implementación de Acciones Humanitarias y Extrajudiciales de Búsqueda, originados a  partir de las oportunidades de mejora identificadas y analizadas como resultado del seguimiento del Modelo de Operación por Procesos, realizado en el nivel terrirorial durante el 2025 y que cuentan con la aprobación del responsable de ejecutar la acción de mejora.</t>
  </si>
  <si>
    <t>(Número de Planes de Mejoramiento Formulados/ Número de oportunidades de mejora analizadas y aprobadas)*100%</t>
  </si>
  <si>
    <t>Número de Planes de Mejoramiento Formulados</t>
  </si>
  <si>
    <t>Número de oportunidades de mejora analizadas y aprobadas</t>
  </si>
  <si>
    <t>Sistema Integral de Seguimiento y Monitoreo a la Planeación de la Búsqueda Humanitaria y Extrajudicial  implementado</t>
  </si>
  <si>
    <t>L6-DPE-029</t>
  </si>
  <si>
    <t>No. de boletines publicados</t>
  </si>
  <si>
    <t>Implementar un sistema estructurado de seguimiento y monitoreo que permita la recolección, análisis y visualización de información en tiempo real para mejorar la toma de decisiones en la UBPD.</t>
  </si>
  <si>
    <t>∑= V1t...V2t</t>
  </si>
  <si>
    <t>Número de boletines cualitativos sobre el avance de la implementación de PRB.</t>
  </si>
  <si>
    <t>Número de boletines estadísticos regionales publicados</t>
  </si>
  <si>
    <t>L6-DPE-030</t>
  </si>
  <si>
    <t>Instrumento de seguimiento a indicadores de gestión publicado</t>
  </si>
  <si>
    <t>Implementar un sistema estructurado de seguimiento y monitoreo que permita la recolección, análisis y visualización de información en tiempo real para mejorar la toma de decisiones en la UBPD</t>
  </si>
  <si>
    <t>No. instrumentos de recolección de información del Comité Directivo</t>
  </si>
  <si>
    <t>L6-P2-DPE-2026 SISPLAN - BÚSQUEDA: Sistema de Seguimiento y Monitoreo a la planeación de la búsqueda</t>
  </si>
  <si>
    <t>Oficina Asesora de Planeación</t>
  </si>
  <si>
    <t>L6-DPE-031</t>
  </si>
  <si>
    <t>Avance en la implementación de la Metodología de Evaluación de Medio Término del Programa Red de Apoyo Operativo para la Búsqueda</t>
  </si>
  <si>
    <t>Medir de manera periódica el grado de implementación de las actividades definidas en la Metodología de Evaluación de Medio Término (EMT) del Programa Red de Apoyo Operativo para la Búsqueda, con el fin de asegurar la aplicación oportuna de los instrumentos evaluativos, la recolección sistemática de información y la generación de evidencia para la toma de decisiones sobre el fortalecimiento del programa.</t>
  </si>
  <si>
    <t xml:space="preserve">"El indicador mide el porcentaje de actividades ejecutadas frente al total de actividades programadas para la implementación de la Metodología de Evaluación de Medio Término durante el periodo de medición.
La implementación incluye el desarrollo de las fases metodológicas definidas en la EMT, tales como:
* Mapeo multiactor del ecosistema de búsqueda.
* Aplicación de instrumentos de recolección de información.
* Diagnóstico de capacidades.
* Análisis de redes y relaciones territoriales.
* Procesamiento y triangulación de información.
* Elaboración y validación del informe de evaluación.
La medición permite verificar el progreso de la implementación de la metodología y detectar oportunamente retrasos o cuellos de botella en el proceso evaluativo.
La EMT constituye una herramienta estratégica para generar evidencia sobre el fortalecimiento técnico, operativo y relacional de los actores que integran la Red de Apoyo Operativo para la Búsqueda
Conceptos clave (para ficha técnica del indicador)
Metodología de Evaluación de Medio Término (EMT)
Marco metodológico diseñado para evaluar el avance del Programa Red de Apoyo Operativo para la Búsqueda mediante un enfoque participativo, mixto (cuantitativo y cualitativo) y basado en resultados.
Actividades de implementación de la EMT
Conjunto de acciones necesarias para ejecutar la evaluación, incluyendo diseño de instrumentos, recolección de información, aplicación de encuestas, análisis de resultados y elaboración del informe de evaluación.
Avance de implementación
Grado de cumplimiento de las actividades programadas para ejecutar la metodología de evaluación dentro del periodo de medición."								
								</t>
  </si>
  <si>
    <t xml:space="preserve">Avance Implementación EMT (%) = Actividades implementadas en el EMT /  Actividades Totales Programadas de la EMT	</t>
  </si>
  <si>
    <t>Actividades implementadas en el EMT</t>
  </si>
  <si>
    <t xml:space="preserve"> Actividades Totales Programadas de la EMT</t>
  </si>
  <si>
    <t>Información recogida en el marco de la metodologia con las personas u oroganizaciones seleccionadas en la muestra de la metodología</t>
  </si>
  <si>
    <t>L6-DPE-032</t>
  </si>
  <si>
    <t>Reporte mensual de resultados de los índices de desempeño territorial y ejecución presupuestal (IET – ICEP-E)</t>
  </si>
  <si>
    <t>Medir la generación oportuna y sistemática de los reportes mensuales de análisis institucional sobre el desempeño territorial y la ejecución presupuestal estratégica de la UBPD, a partir del cálculo y análisis del Índice de Eficiencia Territorial (IET) y del Índice Compuesto Multidimensional de Ejecución Presupuestal Estratégica (ICEP-E), con el fin de fortalecer la toma de decisiones basada en evidencia.</t>
  </si>
  <si>
    <t>"El indicador mide el porcentaje de reportes mensuales elaborados y publicados sobre los resultados de los índices institucionales de desempeño territorial y ejecución presupuestal durante el periodo de medición.
Los reportes incluyen:
Cálculo mensual del Índice de Eficiencia Territorial (IET) para cada GITT.
Cálculo mensual del ICEP-E para cada dependencia.
Análisis comparativo territorial.
Identificación de desviaciones.
Recomendaciones de gestión.
El IET evalúa la relación entre recursos utilizados (entradas) y resultados obtenidos (salidas) en los equipos territoriales mediante variables normalizadas y ponderadas 
Indice Eficiencia Territorial -…
El ICEP-E evalúa el desempeño presupuestal estratégico a partir de múltiples dimensiones como gestión financiera, gestión estratégica, gobernanza del PAA y estabilidad presupuestal, integradas mediante un índice compuesto</t>
  </si>
  <si>
    <t>IRM = (Reportes mensuales generados de índices) / (Reportes mensuales programados)</t>
  </si>
  <si>
    <t>Reportes mensuales generados de índices</t>
  </si>
  <si>
    <t>Reportes mensuales programados</t>
  </si>
  <si>
    <t>"1. Bases territoriales UBPD
2. SIIF / PAA / PAI
3. Información misional (DTIPLB / DTPR</t>
  </si>
  <si>
    <t>L6-DPE-033</t>
  </si>
  <si>
    <t>Cumplimiento mensual de las acciones territoriales de investigación humanitaria y búsqueda de personas dadas por desaparecidas.</t>
  </si>
  <si>
    <t>Medir el nivel de cumplimiento de las acciones territoriales programadas en el marco de la implementación de las actividades de investigación humanitaria, articulación institucional, participación de víctimas y desarrollo de acciones operativas orientadas a la búsqueda de personas dadas por desaparecidas.</t>
  </si>
  <si>
    <t>"El indicador mide el grado de cumplimiento de las acciones territoriales programadas durante el periodo de medición, relacionadas con actividades de investigación humanitaria, análisis de información, articulación institucional, participación con organizaciones de víctimas y acciones operativas de prospección e intervención en el territorio.
El cumplimiento se determina con base en el número de acciones efectivamente desarrolladas y reportadas frente al total de acciones planificadas para el periodo, considerando como evidencia los registros institucionales y los reportes territoriales de gestión.</t>
  </si>
  <si>
    <t>AT = (Número de acciones territoriales ejecutadas) / (Número de acciones territoriales programadas)</t>
  </si>
  <si>
    <t>Número de acciones territoriales ejecutadas</t>
  </si>
  <si>
    <t>Número de acciones territoriales programadas</t>
  </si>
  <si>
    <t xml:space="preserve">"Informes de gestión territorial.
Registros institucionales de actividades de investigación humanitaria.
Actas de reuniones interinstitucionales y de participación con víctimas.
Sistemas de información institucional de seguimiento a la búsqueda de personas dadas por desaparecidas.
Reportes operativos de prospección, intervención y análisis territorial."								</t>
  </si>
  <si>
    <t>Todas las dependencias</t>
  </si>
  <si>
    <t>L6-DPE-034</t>
  </si>
  <si>
    <t>Avance de implementación del Plan de Acción Institucional (PAI) 2026</t>
  </si>
  <si>
    <t>Medir el nivel de avance en la ejecución de los productos estratégicos definidos en el Plan de Acción Institucional (PAI) 2026, a partir del seguimiento mensual de los reportes cuantitativos, cualitativos y sus respectivos soportes, validados a través del sistema institucional de monitoreo.</t>
  </si>
  <si>
    <t>l indicador mide el grado de avance del PAI mediante la consolidación y validación de la información reportada por las dependencias responsables de los productos estratégicos.
El cálculo se basa en la verificación mensual de:
cumplimiento de metas operativas,
consistencia de los reportes,
cargue oportuno de información,
y validación de soportes.
El sistema de medición se soporta en una arquitectura compuesta por tres módulos principales:
3.1 Módulo de Indicadores Territoriales
Permite la captura, validación y publicación de información asociada a los 94 Planes Regionales de Búsqueda (PRB), organizados bajo la estructura:
Regional → GITT → PRB
Incluye un flujo de validación en tres niveles:
Responsable PRB (cargue)
Coordinador GITT (aval)
Coordinador Regional (publicación)
Solo los datos en estado PUBLICADO son considerados válidos para el cálculo
3.2 Módulo de Indicadores Comité Directivo (Tablero Gerencial)
Permite el seguimiento de indicadores estratégicos por:
línea estratégica,
producto,
dependencia.
Incluye:
reporte mensual cuantitativo y cualitativo,
semaforización de avance,
validación por parte de la OAP,
visualización en tablero gerencial.
3.3 Módulo Plan de Acción Institucional (PAI)
Permite el seguimiento directo a:
metas operativas,
productos estratégicos,
cumplimiento institucional.
Integra la información proveniente de los módulos territorial y gerencial, consolidando el avance global del PAI.</t>
  </si>
  <si>
    <t>Avance PAI=(∑Productos programados / ∑Productos con avance validado​)×100</t>
  </si>
  <si>
    <t>1. Productos con avance validado (PAV)
Número de productos estratégicos del PAI que:
cuentan con reporte mensual cargado,
tienen soporte asociado,
han sido validados por la OAP,
y se encuentran en estado APROBADO/PUBLICADO en el sistema.</t>
  </si>
  <si>
    <t>2. Productos programados (PP)
Número total de productos estratégicos definidos en el PAI para la vigencia 2026.</t>
  </si>
  <si>
    <t>Sistema de seguimiento institucional (módulos territorial, gerencial y PAI)
Hojas de ruta de reporte de productos estratégicos
Soportes documentales cargados por dependencias
Validaciones realizadas por la OAP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</si>
</sst>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5" formatCode="0.0%"/>
    <numFmt numFmtId="166" formatCode="&quot;$&quot;#,##0"/>
    <numFmt numFmtId="167" formatCode="#,##0_ ;\-#,##0\ "/>
    <numFmt numFmtId="168" formatCode="_-&quot;$&quot;\ * #,##0.00_-;\-&quot;$&quot;\ * #,##0.00_-;_-&quot;$&quot;\ * &quot;-&quot;??_-;_-@"/>
    <numFmt numFmtId="169" formatCode="&quot;$&quot;#,##0.00"/>
    <numFmt numFmtId="170" formatCode="0.00000000%"/>
  </numFmts>
  <fonts count="12" x14ac:knownFonts="1">
    <font>
      <sz val="10"/>
      <color rgb="FF000000"/>
      <name val="Arial"/>
      <scheme val="minor"/>
    </font>
    <font>
      <b/>
      <sz val="14"/>
      <color theme="1"/>
      <name val="Calibri"/>
    </font>
    <font>
      <sz val="10"/>
      <color theme="1"/>
      <name val="Arial"/>
      <scheme val="minor"/>
    </font>
    <font>
      <sz val="11"/>
      <color theme="1"/>
      <name val="Arial"/>
      <scheme val="minor"/>
    </font>
    <font>
      <sz val="10"/>
      <color rgb="FF434343"/>
      <name val="Roboto"/>
    </font>
    <font>
      <sz val="11"/>
      <color theme="1"/>
      <name val="Arial"/>
    </font>
    <font>
      <strike/>
      <sz val="10"/>
      <color theme="1"/>
      <name val="Arial"/>
    </font>
    <font>
      <sz val="10"/>
      <color theme="1"/>
      <name val="Arial"/>
    </font>
    <font>
      <strike/>
      <sz val="11"/>
      <color theme="1"/>
      <name val="Calibri"/>
    </font>
    <font>
      <sz val="11"/>
      <color theme="1"/>
      <name val="Calibri"/>
    </font>
    <font>
      <sz val="9"/>
      <color theme="1"/>
      <name val="Calibri"/>
    </font>
    <font>
      <sz val="8"/>
      <color theme="1"/>
      <name val="Arial"/>
    </font>
  </fonts>
  <fills count="8">
    <fill>
      <patternFill patternType="none"/>
    </fill>
    <fill>
      <patternFill patternType="gray125"/>
    </fill>
    <fill>
      <patternFill patternType="solid">
        <fgColor rgb="FFFF0000"/>
        <bgColor rgb="FFFF0000"/>
      </patternFill>
    </fill>
    <fill>
      <patternFill patternType="solid">
        <fgColor rgb="FFF6F8F9"/>
        <bgColor rgb="FFF6F8F9"/>
      </patternFill>
    </fill>
    <fill>
      <patternFill patternType="solid">
        <fgColor rgb="FFFFF2CC"/>
        <bgColor rgb="FFFFF2CC"/>
      </patternFill>
    </fill>
    <fill>
      <patternFill patternType="solid">
        <fgColor rgb="FFFFFF00"/>
        <bgColor rgb="FFFFFF00"/>
      </patternFill>
    </fill>
    <fill>
      <patternFill patternType="solid">
        <fgColor rgb="FFB6D7A8"/>
        <bgColor rgb="FFB6D7A8"/>
      </patternFill>
    </fill>
    <fill>
      <patternFill patternType="solid">
        <fgColor rgb="FFFFFFFF"/>
        <bgColor rgb="FFFFFFFF"/>
      </patternFill>
    </fill>
  </fills>
  <borders count="2">
    <border>
      <left/>
      <right/>
      <top/>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51">
    <xf numFmtId="0" fontId="0" fillId="0" borderId="0" xfId="0"/>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164" fontId="2" fillId="0" borderId="0" xfId="0" applyNumberFormat="1" applyFont="1" applyAlignment="1">
      <alignment vertical="center" wrapText="1"/>
    </xf>
    <xf numFmtId="4" fontId="2" fillId="0" borderId="0" xfId="0" applyNumberFormat="1" applyFont="1" applyAlignment="1">
      <alignment vertical="center" wrapText="1"/>
    </xf>
    <xf numFmtId="165" fontId="2" fillId="0" borderId="0" xfId="0" applyNumberFormat="1" applyFont="1" applyAlignment="1">
      <alignment horizontal="center" vertical="center" wrapText="1"/>
    </xf>
    <xf numFmtId="165" fontId="2" fillId="0" borderId="0" xfId="0" applyNumberFormat="1" applyFont="1" applyAlignment="1">
      <alignment vertical="center" wrapText="1"/>
    </xf>
    <xf numFmtId="49" fontId="2" fillId="0" borderId="0" xfId="0" applyNumberFormat="1" applyFont="1" applyAlignment="1">
      <alignment vertical="center" wrapText="1"/>
    </xf>
    <xf numFmtId="0" fontId="3" fillId="0" borderId="0" xfId="0" applyFont="1" applyAlignment="1">
      <alignment horizontal="center" vertical="center" wrapText="1"/>
    </xf>
    <xf numFmtId="3" fontId="2" fillId="0" borderId="0" xfId="0" applyNumberFormat="1" applyFont="1" applyAlignment="1">
      <alignment horizontal="center" vertical="center" wrapText="1"/>
    </xf>
    <xf numFmtId="4" fontId="3" fillId="0" borderId="0" xfId="0" applyNumberFormat="1" applyFont="1" applyAlignment="1">
      <alignment vertical="center" wrapText="1"/>
    </xf>
    <xf numFmtId="0" fontId="3" fillId="0" borderId="0" xfId="0" applyFont="1" applyAlignment="1">
      <alignment vertical="center" wrapText="1"/>
    </xf>
    <xf numFmtId="164" fontId="2" fillId="0" borderId="0" xfId="0" applyNumberFormat="1" applyFont="1" applyAlignment="1">
      <alignment vertical="center"/>
    </xf>
    <xf numFmtId="0" fontId="2" fillId="0" borderId="0" xfId="0" applyFont="1" applyAlignment="1">
      <alignment vertical="center"/>
    </xf>
    <xf numFmtId="0" fontId="2" fillId="2" borderId="0" xfId="0" applyFont="1" applyFill="1" applyAlignment="1">
      <alignment vertical="center" wrapText="1"/>
    </xf>
    <xf numFmtId="166" fontId="3" fillId="0" borderId="0" xfId="0" applyNumberFormat="1" applyFont="1" applyAlignment="1">
      <alignment horizontal="center" vertical="center" wrapText="1"/>
    </xf>
    <xf numFmtId="167" fontId="2" fillId="0" borderId="0" xfId="0" applyNumberFormat="1" applyFont="1" applyAlignment="1">
      <alignment horizontal="center" vertical="center" wrapText="1"/>
    </xf>
    <xf numFmtId="167" fontId="2" fillId="0" borderId="0" xfId="0" applyNumberFormat="1" applyFont="1" applyAlignment="1">
      <alignment vertical="center" wrapText="1"/>
    </xf>
    <xf numFmtId="49" fontId="3" fillId="0" borderId="0" xfId="0" applyNumberFormat="1" applyFont="1" applyAlignment="1">
      <alignment vertical="center" wrapText="1"/>
    </xf>
    <xf numFmtId="0" fontId="4" fillId="3" borderId="1" xfId="0" applyFont="1" applyFill="1" applyBorder="1" applyAlignment="1">
      <alignment horizontal="center" vertical="top" wrapText="1"/>
    </xf>
    <xf numFmtId="0" fontId="2" fillId="4" borderId="0" xfId="0" applyFont="1" applyFill="1" applyAlignment="1">
      <alignment horizontal="center" vertical="center" wrapText="1"/>
    </xf>
    <xf numFmtId="0" fontId="2" fillId="4" borderId="0" xfId="0" applyFont="1" applyFill="1" applyAlignment="1">
      <alignment vertical="center" wrapText="1"/>
    </xf>
    <xf numFmtId="0" fontId="2" fillId="4" borderId="0" xfId="0" applyFont="1" applyFill="1" applyAlignment="1">
      <alignment vertical="center"/>
    </xf>
    <xf numFmtId="164" fontId="2" fillId="4" borderId="0" xfId="0" applyNumberFormat="1" applyFont="1" applyFill="1" applyAlignment="1">
      <alignment vertical="center" wrapText="1"/>
    </xf>
    <xf numFmtId="4" fontId="2" fillId="4" borderId="0" xfId="0" applyNumberFormat="1" applyFont="1" applyFill="1" applyAlignment="1">
      <alignment vertical="center" wrapText="1"/>
    </xf>
    <xf numFmtId="165" fontId="2" fillId="4" borderId="0" xfId="0" applyNumberFormat="1" applyFont="1" applyFill="1" applyAlignment="1">
      <alignment horizontal="center" vertical="center" wrapText="1"/>
    </xf>
    <xf numFmtId="49" fontId="2" fillId="4" borderId="0" xfId="0" applyNumberFormat="1" applyFont="1" applyFill="1" applyAlignment="1">
      <alignment vertical="center" wrapText="1"/>
    </xf>
    <xf numFmtId="0" fontId="3" fillId="4" borderId="0" xfId="0" applyFont="1" applyFill="1" applyAlignment="1">
      <alignment horizontal="center" vertical="center" wrapText="1"/>
    </xf>
    <xf numFmtId="165" fontId="2" fillId="4" borderId="0" xfId="0" applyNumberFormat="1" applyFont="1" applyFill="1" applyAlignment="1">
      <alignment vertical="center" wrapText="1"/>
    </xf>
    <xf numFmtId="4" fontId="3" fillId="4" borderId="0" xfId="0" applyNumberFormat="1" applyFont="1" applyFill="1" applyAlignment="1">
      <alignment vertical="center" wrapText="1"/>
    </xf>
    <xf numFmtId="0" fontId="2" fillId="5" borderId="0" xfId="0" applyFont="1" applyFill="1" applyAlignment="1">
      <alignment horizontal="center" vertical="center" wrapText="1"/>
    </xf>
    <xf numFmtId="0" fontId="2" fillId="5" borderId="0" xfId="0" applyFont="1" applyFill="1" applyAlignment="1">
      <alignment vertical="center" wrapText="1"/>
    </xf>
    <xf numFmtId="0" fontId="2" fillId="5" borderId="0" xfId="0" applyFont="1" applyFill="1" applyAlignment="1">
      <alignment vertical="center"/>
    </xf>
    <xf numFmtId="164" fontId="2" fillId="5" borderId="0" xfId="0" applyNumberFormat="1" applyFont="1" applyFill="1" applyAlignment="1">
      <alignment vertical="center" wrapText="1"/>
    </xf>
    <xf numFmtId="4" fontId="2" fillId="5" borderId="0" xfId="0" applyNumberFormat="1" applyFont="1" applyFill="1" applyAlignment="1">
      <alignment vertical="center" wrapText="1"/>
    </xf>
    <xf numFmtId="165" fontId="2" fillId="5" borderId="0" xfId="0" applyNumberFormat="1" applyFont="1" applyFill="1" applyAlignment="1">
      <alignment horizontal="center" vertical="center" wrapText="1"/>
    </xf>
    <xf numFmtId="0" fontId="3" fillId="5" borderId="0" xfId="0" applyFont="1" applyFill="1" applyAlignment="1">
      <alignment horizontal="center" vertical="center" wrapText="1"/>
    </xf>
    <xf numFmtId="49" fontId="2" fillId="5" borderId="0" xfId="0" applyNumberFormat="1" applyFont="1" applyFill="1" applyAlignment="1">
      <alignment vertical="center" wrapText="1"/>
    </xf>
    <xf numFmtId="164" fontId="2" fillId="5" borderId="0" xfId="0" applyNumberFormat="1" applyFont="1" applyFill="1" applyAlignment="1">
      <alignment vertical="center"/>
    </xf>
    <xf numFmtId="168" fontId="2" fillId="0" borderId="0" xfId="0" applyNumberFormat="1" applyFont="1" applyAlignment="1">
      <alignment vertical="center"/>
    </xf>
    <xf numFmtId="4" fontId="2" fillId="0" borderId="0" xfId="0" applyNumberFormat="1" applyFont="1" applyAlignment="1">
      <alignment vertical="center"/>
    </xf>
    <xf numFmtId="168" fontId="2" fillId="0" borderId="0" xfId="0" applyNumberFormat="1" applyFont="1" applyAlignment="1">
      <alignment horizontal="center" vertical="center" wrapText="1"/>
    </xf>
    <xf numFmtId="168" fontId="2" fillId="0" borderId="0" xfId="0" applyNumberFormat="1" applyFont="1" applyAlignment="1">
      <alignment vertical="center" wrapText="1"/>
    </xf>
    <xf numFmtId="169" fontId="2" fillId="0" borderId="0" xfId="0" applyNumberFormat="1" applyFont="1" applyAlignment="1">
      <alignment vertical="center" wrapText="1"/>
    </xf>
    <xf numFmtId="169" fontId="2" fillId="0" borderId="0" xfId="0" applyNumberFormat="1" applyFont="1" applyAlignment="1">
      <alignment horizontal="center" vertical="center" wrapText="1"/>
    </xf>
    <xf numFmtId="0" fontId="2" fillId="6" borderId="0" xfId="0" applyFont="1" applyFill="1" applyAlignment="1">
      <alignment vertical="center" wrapText="1"/>
    </xf>
    <xf numFmtId="0" fontId="2" fillId="7" borderId="0" xfId="0" applyFont="1" applyFill="1" applyAlignment="1">
      <alignment vertical="center" wrapText="1"/>
    </xf>
    <xf numFmtId="0" fontId="2" fillId="0" borderId="0" xfId="0" applyFont="1" applyAlignment="1">
      <alignment horizontal="center"/>
    </xf>
    <xf numFmtId="170" fontId="2" fillId="0" borderId="0" xfId="0" applyNumberFormat="1" applyFont="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Hoja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ergio Leonardo Carrillo Amaya" id="{97DBE86A-572E-4D12-A3CA-DADAAA7D429F}"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stigación_Forense_Indicadores" displayName="Investigación_Forense_Indicadores" ref="A1:BT174">
  <tableColumns count="72">
    <tableColumn id="1" xr3:uid="{00000000-0010-0000-0000-000001000000}" name="No"/>
    <tableColumn id="2" xr3:uid="{00000000-0010-0000-0000-000002000000}" name="Línea estratégica"/>
    <tableColumn id="3" xr3:uid="{00000000-0010-0000-0000-000003000000}" name="Resultado Estratégico "/>
    <tableColumn id="4" xr3:uid="{00000000-0010-0000-0000-000004000000}" name="Producto PAI"/>
    <tableColumn id="5" xr3:uid="{00000000-0010-0000-0000-000005000000}" name="Dependencia responsable "/>
    <tableColumn id="6" xr3:uid="{00000000-0010-0000-0000-000006000000}" name="Responsables asociados "/>
    <tableColumn id="7" xr3:uid="{00000000-0010-0000-0000-000007000000}" name="Número del indicador "/>
    <tableColumn id="8" xr3:uid="{00000000-0010-0000-0000-000008000000}" name="Nombre del indicador"/>
    <tableColumn id="9" xr3:uid="{00000000-0010-0000-0000-000009000000}" name="Objetivo "/>
    <tableColumn id="10" xr3:uid="{00000000-0010-0000-0000-00000A000000}" name="Definición Operativa "/>
    <tableColumn id="11" xr3:uid="{00000000-0010-0000-0000-00000B000000}" name="Fórmula de indicador"/>
    <tableColumn id="12" xr3:uid="{00000000-0010-0000-0000-00000C000000}" name="Variable 1"/>
    <tableColumn id="13" xr3:uid="{00000000-0010-0000-0000-00000D000000}" name="Variable 2"/>
    <tableColumn id="14" xr3:uid="{00000000-0010-0000-0000-00000E000000}" name="Variable 3"/>
    <tableColumn id="15" xr3:uid="{00000000-0010-0000-0000-00000F000000}" name="Variable 4"/>
    <tableColumn id="16" xr3:uid="{00000000-0010-0000-0000-000010000000}" name="Variable 5"/>
    <tableColumn id="17" xr3:uid="{00000000-0010-0000-0000-000011000000}" name="Variable 6"/>
    <tableColumn id="18" xr3:uid="{00000000-0010-0000-0000-000012000000}" name="Variable 7"/>
    <tableColumn id="19" xr3:uid="{00000000-0010-0000-0000-000013000000}" name="Periodicidad "/>
    <tableColumn id="20" xr3:uid="{00000000-0010-0000-0000-000014000000}" name="Unidad de medida "/>
    <tableColumn id="21" xr3:uid="{00000000-0010-0000-0000-000015000000}" name="Fuente de información"/>
    <tableColumn id="22" xr3:uid="{00000000-0010-0000-0000-000016000000}" name="Línea base  _x000a_Acumulado 2024-2025 "/>
    <tableColumn id="23" xr3:uid="{00000000-0010-0000-0000-000017000000}" name="Meta anual 2026 "/>
    <tableColumn id="24" xr3:uid="{00000000-0010-0000-0000-000018000000}" name="Estado 2026"/>
    <tableColumn id="25" xr3:uid="{00000000-0010-0000-0000-000019000000}" name="Variable 1_x000a_Enero - Febrero"/>
    <tableColumn id="26" xr3:uid="{00000000-0010-0000-0000-00001A000000}" name="Variable 2_x000a_Enero - Febrero"/>
    <tableColumn id="27" xr3:uid="{00000000-0010-0000-0000-00001B000000}" name="Variable 3_x000a_Enero - Febrero"/>
    <tableColumn id="28" xr3:uid="{00000000-0010-0000-0000-00001C000000}" name="Variable 4_x000a_Enero - Febrero"/>
    <tableColumn id="29" xr3:uid="{00000000-0010-0000-0000-00001D000000}" name="Variable 5_x000a_Enero - Febrero"/>
    <tableColumn id="30" xr3:uid="{00000000-0010-0000-0000-00001E000000}" name="Variable 6_x000a_Enero - Febrero"/>
    <tableColumn id="31" xr3:uid="{00000000-0010-0000-0000-00001F000000}" name="Variable 7_x000a_Enero - Febrero"/>
    <tableColumn id="32" xr3:uid="{00000000-0010-0000-0000-000020000000}" name="Fórmula_x000a_Enero - Febrero"/>
    <tableColumn id="33" xr3:uid="{00000000-0010-0000-0000-000021000000}" name="Análisis cualitativo del comportamiento del indicador"/>
    <tableColumn id="34" xr3:uid="{00000000-0010-0000-0000-000022000000}" name="Principales logros y dificultades del periodo"/>
    <tableColumn id="35" xr3:uid="{00000000-0010-0000-0000-000023000000}" name="Observaciones"/>
    <tableColumn id="36" xr3:uid="{00000000-0010-0000-0000-000024000000}" name="Observaciones OAP_x000a_Enero - Febrero"/>
    <tableColumn id="37" xr3:uid="{00000000-0010-0000-0000-000025000000}" name="Variable 1_x000a_Marzo_x000a_"/>
    <tableColumn id="38" xr3:uid="{00000000-0010-0000-0000-000026000000}" name="Variable 2_x000a_Marzo"/>
    <tableColumn id="39" xr3:uid="{00000000-0010-0000-0000-000027000000}" name="Variable 3_x000a_Marzo"/>
    <tableColumn id="40" xr3:uid="{00000000-0010-0000-0000-000028000000}" name="Variable 4_x000a_Marzo"/>
    <tableColumn id="41" xr3:uid="{00000000-0010-0000-0000-000029000000}" name="Variable 5_x000a_Marzo"/>
    <tableColumn id="42" xr3:uid="{00000000-0010-0000-0000-00002A000000}" name="Variable 6_x000a_Marzo"/>
    <tableColumn id="43" xr3:uid="{00000000-0010-0000-0000-00002B000000}" name="Variable 7_x000a_Marzo"/>
    <tableColumn id="44" xr3:uid="{00000000-0010-0000-0000-00002C000000}" name="Fórmula_x000a_Marzo"/>
    <tableColumn id="45" xr3:uid="{00000000-0010-0000-0000-00002D000000}" name="Análisis cualitativo del comportamiento del indicador 2"/>
    <tableColumn id="46" xr3:uid="{00000000-0010-0000-0000-00002E000000}" name="Principales logros y dificultades del periodo 2"/>
    <tableColumn id="47" xr3:uid="{00000000-0010-0000-0000-00002F000000}" name="Observaciones 2"/>
    <tableColumn id="48" xr3:uid="{00000000-0010-0000-0000-000030000000}" name="Observaciones OAP_x000a_Marzo"/>
    <tableColumn id="49" xr3:uid="{00000000-0010-0000-0000-000031000000}" name="Variable 1_x000a_Abril"/>
    <tableColumn id="50" xr3:uid="{00000000-0010-0000-0000-000032000000}" name="Variable 2_x000a_Abril"/>
    <tableColumn id="51" xr3:uid="{00000000-0010-0000-0000-000033000000}" name="Variable 3_x000a_Abril"/>
    <tableColumn id="52" xr3:uid="{00000000-0010-0000-0000-000034000000}" name="Variable 4_x000a_Abril"/>
    <tableColumn id="53" xr3:uid="{00000000-0010-0000-0000-000035000000}" name="Variable 5_x000a_Abril"/>
    <tableColumn id="54" xr3:uid="{00000000-0010-0000-0000-000036000000}" name="Variable 6_x000a_Abril"/>
    <tableColumn id="55" xr3:uid="{00000000-0010-0000-0000-000037000000}" name="Variable 7_x000a_Abril"/>
    <tableColumn id="56" xr3:uid="{00000000-0010-0000-0000-000038000000}" name="Fórmula_x000a_Abril"/>
    <tableColumn id="57" xr3:uid="{00000000-0010-0000-0000-000039000000}" name="Análisis cualitativo del comportamiento del indicador 3"/>
    <tableColumn id="58" xr3:uid="{00000000-0010-0000-0000-00003A000000}" name="Principales logros y dificultades del periodo 3"/>
    <tableColumn id="59" xr3:uid="{00000000-0010-0000-0000-00003B000000}" name="Observaciones 3"/>
    <tableColumn id="60" xr3:uid="{00000000-0010-0000-0000-00003C000000}" name="Observaciones OAP_x000a_Abril"/>
    <tableColumn id="61" xr3:uid="{00000000-0010-0000-0000-00003D000000}" name="Variable 1_x000a_Mayo"/>
    <tableColumn id="62" xr3:uid="{00000000-0010-0000-0000-00003E000000}" name="Variable 2_x000a_Mayo"/>
    <tableColumn id="63" xr3:uid="{00000000-0010-0000-0000-00003F000000}" name="Variable 3_x000a_Mayo"/>
    <tableColumn id="64" xr3:uid="{00000000-0010-0000-0000-000040000000}" name="Variable 4_x000a_Mayo"/>
    <tableColumn id="65" xr3:uid="{00000000-0010-0000-0000-000041000000}" name="Variable 5_x000a_Mayo"/>
    <tableColumn id="66" xr3:uid="{00000000-0010-0000-0000-000042000000}" name="Variable 6_x000a_Mayo"/>
    <tableColumn id="67" xr3:uid="{00000000-0010-0000-0000-000043000000}" name="Variable 7_x000a_Mayo"/>
    <tableColumn id="68" xr3:uid="{00000000-0010-0000-0000-000044000000}" name="Fórmula_x000a_Mayo"/>
    <tableColumn id="69" xr3:uid="{00000000-0010-0000-0000-000045000000}" name="Análisis cualitativo del comportamiento del indicador 4"/>
    <tableColumn id="70" xr3:uid="{00000000-0010-0000-0000-000046000000}" name="Principales logros y dificultades del periodo 4"/>
    <tableColumn id="71" xr3:uid="{00000000-0010-0000-0000-000047000000}" name="Observaciones 4"/>
    <tableColumn id="72" xr3:uid="{00000000-0010-0000-0000-000048000000}" name="Observaciones OAP_x000a_Mayo"/>
  </tableColumns>
  <tableStyleInfo name="Hoja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W81" dT="2026-05-06T21:51:55.00" personId="{97DBE86A-572E-4D12-A3CA-DADAAA7D429F}" id="{416DC57D-3490-4B54-A1B1-F47AC3D4593D}">
    <text>No registra meta</text>
  </threadedComment>
  <threadedComment ref="J82" dT="2026-05-06T21:50:18.00" personId="{97DBE86A-572E-4D12-A3CA-DADAAA7D429F}" id="{706D0440-F7F0-4D23-924B-FF8A9C66A991}">
    <text>NO cuenta con definición operativa</text>
  </threadedComment>
  <threadedComment ref="H83" dT="2026-05-06T22:08:03.00" personId="{97DBE86A-572E-4D12-A3CA-DADAAA7D429F}" id="{5E43FF1C-FD76-4B9F-A8B7-664337F9A1F0}">
    <text>El Reporte Cuantitativo de esta ficha se empezará a reportar una vez inicien los recorridos de cada Unidad Móvil (fecha tentativa 01 julio 2026).</text>
  </threadedComment>
  <threadedComment ref="H86" dT="2026-05-06T22:25:46.00" personId="{97DBE86A-572E-4D12-A3CA-DADAAA7D429F}" id="{3039765A-7624-422D-A34E-65A9BE69A787}">
    <text>Se reporta información acumulada enero, Marzo</text>
  </threadedComment>
  <threadedComment ref="H90" dT="2026-05-06T23:41:28.00" personId="{97DBE86A-572E-4D12-A3CA-DADAAA7D429F}" id="{6AEBBE77-832B-4376-844E-F6764CC63A0E}">
    <text>revisar reporte de variable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T1084"/>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25"/>
  <cols>
    <col min="1" max="1" width="8.77734375" customWidth="1"/>
    <col min="2" max="2" width="20" customWidth="1"/>
    <col min="3" max="3" width="45.109375" customWidth="1"/>
    <col min="4" max="4" width="32.6640625" customWidth="1"/>
    <col min="5" max="5" width="14.77734375" customWidth="1"/>
    <col min="6" max="6" width="16.21875" customWidth="1"/>
    <col min="7" max="7" width="15" customWidth="1"/>
    <col min="8" max="8" width="17.6640625" customWidth="1"/>
    <col min="9" max="9" width="37.6640625" customWidth="1"/>
    <col min="10" max="10" width="65.6640625" customWidth="1"/>
    <col min="11" max="11" width="21.33203125" customWidth="1"/>
    <col min="12" max="12" width="22.77734375" customWidth="1"/>
    <col min="13" max="13" width="26.33203125" customWidth="1"/>
    <col min="14" max="14" width="20" customWidth="1"/>
    <col min="15" max="15" width="20.44140625" customWidth="1"/>
    <col min="16" max="17" width="16.6640625" customWidth="1"/>
    <col min="18" max="19" width="17.6640625" customWidth="1"/>
    <col min="20" max="20" width="15.77734375" customWidth="1"/>
    <col min="21" max="21" width="32.88671875" customWidth="1"/>
    <col min="22" max="22" width="15.44140625" customWidth="1"/>
    <col min="23" max="23" width="14.109375" customWidth="1"/>
    <col min="24" max="24" width="15.21875" customWidth="1"/>
    <col min="25" max="25" width="16.109375" customWidth="1"/>
    <col min="26" max="26" width="18.33203125" customWidth="1"/>
    <col min="27" max="32" width="16.77734375" customWidth="1"/>
    <col min="33" max="33" width="23.21875" customWidth="1"/>
    <col min="34" max="34" width="21.33203125" customWidth="1"/>
    <col min="35" max="35" width="18" customWidth="1"/>
    <col min="36" max="36" width="17.88671875" customWidth="1"/>
    <col min="37" max="38" width="14.21875" customWidth="1"/>
    <col min="39" max="44" width="13.44140625" customWidth="1"/>
    <col min="45" max="45" width="16" customWidth="1"/>
    <col min="46" max="46" width="15.6640625" customWidth="1"/>
    <col min="47" max="49" width="13.88671875" customWidth="1"/>
    <col min="50" max="50" width="13.77734375" customWidth="1"/>
    <col min="51" max="55" width="13.44140625" customWidth="1"/>
    <col min="56" max="56" width="19.6640625" customWidth="1"/>
    <col min="57" max="67" width="13.44140625" customWidth="1"/>
    <col min="68" max="68" width="16.77734375" customWidth="1"/>
    <col min="69" max="72" width="13.44140625" customWidth="1"/>
  </cols>
  <sheetData>
    <row r="1" spans="1:7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c r="AH1" s="2" t="s">
        <v>33</v>
      </c>
      <c r="AI1" s="2" t="s">
        <v>34</v>
      </c>
      <c r="AJ1" s="2" t="s">
        <v>35</v>
      </c>
      <c r="AK1" s="1" t="s">
        <v>36</v>
      </c>
      <c r="AL1" s="1" t="s">
        <v>37</v>
      </c>
      <c r="AM1" s="1" t="s">
        <v>38</v>
      </c>
      <c r="AN1" s="1" t="s">
        <v>39</v>
      </c>
      <c r="AO1" s="1" t="s">
        <v>40</v>
      </c>
      <c r="AP1" s="1" t="s">
        <v>41</v>
      </c>
      <c r="AQ1" s="1" t="s">
        <v>42</v>
      </c>
      <c r="AR1" s="1" t="s">
        <v>43</v>
      </c>
      <c r="AS1" s="2" t="s">
        <v>44</v>
      </c>
      <c r="AT1" s="2" t="s">
        <v>45</v>
      </c>
      <c r="AU1" s="2" t="s">
        <v>46</v>
      </c>
      <c r="AV1" s="2" t="s">
        <v>47</v>
      </c>
      <c r="AW1" s="1" t="s">
        <v>48</v>
      </c>
      <c r="AX1" s="1" t="s">
        <v>49</v>
      </c>
      <c r="AY1" s="1" t="s">
        <v>50</v>
      </c>
      <c r="AZ1" s="1" t="s">
        <v>51</v>
      </c>
      <c r="BA1" s="1" t="s">
        <v>52</v>
      </c>
      <c r="BB1" s="1" t="s">
        <v>53</v>
      </c>
      <c r="BC1" s="1" t="s">
        <v>54</v>
      </c>
      <c r="BD1" s="1" t="s">
        <v>55</v>
      </c>
      <c r="BE1" s="2" t="s">
        <v>56</v>
      </c>
      <c r="BF1" s="2" t="s">
        <v>57</v>
      </c>
      <c r="BG1" s="2" t="s">
        <v>58</v>
      </c>
      <c r="BH1" s="2" t="s">
        <v>59</v>
      </c>
      <c r="BI1" s="1" t="s">
        <v>60</v>
      </c>
      <c r="BJ1" s="1" t="s">
        <v>61</v>
      </c>
      <c r="BK1" s="1" t="s">
        <v>62</v>
      </c>
      <c r="BL1" s="1" t="s">
        <v>63</v>
      </c>
      <c r="BM1" s="1" t="s">
        <v>64</v>
      </c>
      <c r="BN1" s="1" t="s">
        <v>65</v>
      </c>
      <c r="BO1" s="1" t="s">
        <v>66</v>
      </c>
      <c r="BP1" s="1" t="s">
        <v>67</v>
      </c>
      <c r="BQ1" s="2" t="s">
        <v>68</v>
      </c>
      <c r="BR1" s="2" t="s">
        <v>69</v>
      </c>
      <c r="BS1" s="2" t="s">
        <v>70</v>
      </c>
      <c r="BT1" s="2" t="s">
        <v>71</v>
      </c>
    </row>
    <row r="2" spans="1:72" ht="114.75" customHeight="1" x14ac:dyDescent="0.25">
      <c r="A2" s="3">
        <v>1</v>
      </c>
      <c r="B2" s="4" t="s">
        <v>72</v>
      </c>
      <c r="C2" s="4" t="s">
        <v>73</v>
      </c>
      <c r="D2" s="4"/>
      <c r="E2" s="4" t="s">
        <v>74</v>
      </c>
      <c r="F2" s="4" t="s">
        <v>75</v>
      </c>
      <c r="G2" s="4" t="s">
        <v>76</v>
      </c>
      <c r="H2" s="4" t="s">
        <v>77</v>
      </c>
      <c r="I2" s="4" t="s">
        <v>78</v>
      </c>
      <c r="J2" s="4" t="s">
        <v>79</v>
      </c>
      <c r="K2" s="4" t="s">
        <v>80</v>
      </c>
      <c r="L2" s="4" t="s">
        <v>81</v>
      </c>
      <c r="M2" s="4" t="s">
        <v>82</v>
      </c>
      <c r="N2" s="4"/>
      <c r="O2" s="4"/>
      <c r="P2" s="4"/>
      <c r="Q2" s="4"/>
      <c r="R2" s="4"/>
      <c r="S2" s="4" t="s">
        <v>83</v>
      </c>
      <c r="T2" s="4" t="s">
        <v>84</v>
      </c>
      <c r="U2" s="4" t="s">
        <v>85</v>
      </c>
      <c r="V2" s="5">
        <v>0.89</v>
      </c>
      <c r="W2" s="4">
        <v>0.9</v>
      </c>
      <c r="X2" s="4" t="s">
        <v>86</v>
      </c>
      <c r="Y2" s="3">
        <v>177</v>
      </c>
      <c r="Z2" s="6">
        <v>23487</v>
      </c>
      <c r="AA2" s="3"/>
      <c r="AB2" s="7"/>
      <c r="AC2" s="7"/>
      <c r="AD2" s="6"/>
      <c r="AE2" s="6"/>
      <c r="AF2" s="6">
        <f t="shared" ref="AF2:AF4" si="0">Y2/Z2</f>
        <v>7.5360837910333376E-3</v>
      </c>
      <c r="AG2" s="3" t="s">
        <v>87</v>
      </c>
      <c r="AH2" s="3" t="s">
        <v>88</v>
      </c>
      <c r="AI2" s="3" t="s">
        <v>89</v>
      </c>
      <c r="AJ2" s="3"/>
      <c r="AK2" s="3">
        <v>38</v>
      </c>
      <c r="AL2" s="3">
        <v>23487</v>
      </c>
      <c r="AM2" s="3"/>
      <c r="AN2" s="3"/>
      <c r="AO2" s="3"/>
      <c r="AP2" s="3"/>
      <c r="AQ2" s="3"/>
      <c r="AR2" s="8">
        <f t="shared" ref="AR2:AR4" si="1">AK2/AL2</f>
        <v>1.6179162941201515E-3</v>
      </c>
      <c r="AS2" s="3" t="s">
        <v>90</v>
      </c>
      <c r="AT2" s="3" t="s">
        <v>91</v>
      </c>
      <c r="AU2" s="3"/>
      <c r="AV2" s="3"/>
      <c r="AW2" s="3">
        <v>0</v>
      </c>
      <c r="AX2" s="3">
        <v>23487</v>
      </c>
      <c r="AY2" s="3"/>
      <c r="AZ2" s="3"/>
      <c r="BA2" s="3"/>
      <c r="BB2" s="3"/>
      <c r="BC2" s="3"/>
      <c r="BD2" s="9">
        <f t="shared" ref="BD2:BD4" si="2">AW2/AX2</f>
        <v>0</v>
      </c>
      <c r="BE2" s="3" t="s">
        <v>92</v>
      </c>
      <c r="BF2" s="3" t="s">
        <v>93</v>
      </c>
      <c r="BG2" s="3"/>
      <c r="BH2" s="3"/>
      <c r="BI2" s="10">
        <v>480</v>
      </c>
      <c r="BJ2" s="3">
        <v>23487</v>
      </c>
      <c r="BK2" s="3"/>
      <c r="BL2" s="3"/>
      <c r="BM2" s="3"/>
      <c r="BN2" s="3"/>
      <c r="BO2" s="3"/>
      <c r="BP2" s="6">
        <f t="shared" ref="BP2:BP4" si="3">BI2/BJ2</f>
        <v>2.043683739941244E-2</v>
      </c>
      <c r="BQ2" s="10" t="s">
        <v>94</v>
      </c>
      <c r="BR2" s="10" t="s">
        <v>95</v>
      </c>
      <c r="BS2" s="10" t="s">
        <v>96</v>
      </c>
      <c r="BT2" s="3"/>
    </row>
    <row r="3" spans="1:72" ht="108" customHeight="1" x14ac:dyDescent="0.25">
      <c r="A3" s="3">
        <v>2</v>
      </c>
      <c r="B3" s="4" t="s">
        <v>72</v>
      </c>
      <c r="C3" s="4" t="s">
        <v>73</v>
      </c>
      <c r="D3" s="4"/>
      <c r="E3" s="4" t="s">
        <v>97</v>
      </c>
      <c r="F3" s="4" t="s">
        <v>75</v>
      </c>
      <c r="G3" s="4" t="s">
        <v>98</v>
      </c>
      <c r="H3" s="4" t="s">
        <v>99</v>
      </c>
      <c r="I3" s="4" t="s">
        <v>100</v>
      </c>
      <c r="J3" s="4" t="s">
        <v>101</v>
      </c>
      <c r="K3" s="4" t="s">
        <v>102</v>
      </c>
      <c r="L3" s="4" t="s">
        <v>103</v>
      </c>
      <c r="M3" s="4" t="s">
        <v>104</v>
      </c>
      <c r="N3" s="4"/>
      <c r="O3" s="4"/>
      <c r="P3" s="4"/>
      <c r="Q3" s="4"/>
      <c r="R3" s="4"/>
      <c r="S3" s="4" t="s">
        <v>83</v>
      </c>
      <c r="T3" s="4" t="s">
        <v>105</v>
      </c>
      <c r="U3" s="4" t="s">
        <v>106</v>
      </c>
      <c r="V3" s="5">
        <v>12</v>
      </c>
      <c r="W3" s="4">
        <v>5</v>
      </c>
      <c r="X3" s="4" t="s">
        <v>86</v>
      </c>
      <c r="Y3" s="3">
        <v>0</v>
      </c>
      <c r="Z3" s="6">
        <v>5</v>
      </c>
      <c r="AA3" s="3"/>
      <c r="AB3" s="7"/>
      <c r="AC3" s="7"/>
      <c r="AD3" s="6"/>
      <c r="AE3" s="6"/>
      <c r="AF3" s="6">
        <f t="shared" si="0"/>
        <v>0</v>
      </c>
      <c r="AG3" s="3" t="s">
        <v>107</v>
      </c>
      <c r="AH3" s="3" t="s">
        <v>108</v>
      </c>
      <c r="AI3" s="3"/>
      <c r="AJ3" s="3"/>
      <c r="AK3" s="3">
        <v>0</v>
      </c>
      <c r="AL3" s="3">
        <v>5</v>
      </c>
      <c r="AM3" s="3"/>
      <c r="AN3" s="3"/>
      <c r="AO3" s="3"/>
      <c r="AP3" s="3"/>
      <c r="AQ3" s="3"/>
      <c r="AR3" s="8">
        <f t="shared" si="1"/>
        <v>0</v>
      </c>
      <c r="AS3" s="3" t="s">
        <v>109</v>
      </c>
      <c r="AT3" s="3" t="s">
        <v>110</v>
      </c>
      <c r="AU3" s="3"/>
      <c r="AV3" s="3"/>
      <c r="AW3" s="3">
        <v>1</v>
      </c>
      <c r="AX3" s="3">
        <v>5</v>
      </c>
      <c r="AY3" s="3"/>
      <c r="AZ3" s="3"/>
      <c r="BA3" s="3"/>
      <c r="BB3" s="3"/>
      <c r="BC3" s="3"/>
      <c r="BD3" s="9">
        <f t="shared" si="2"/>
        <v>0.2</v>
      </c>
      <c r="BE3" s="3" t="s">
        <v>111</v>
      </c>
      <c r="BF3" s="3" t="s">
        <v>112</v>
      </c>
      <c r="BG3" s="3"/>
      <c r="BH3" s="3"/>
      <c r="BI3" s="10">
        <v>1</v>
      </c>
      <c r="BJ3" s="10">
        <v>5</v>
      </c>
      <c r="BK3" s="3"/>
      <c r="BL3" s="3"/>
      <c r="BM3" s="3"/>
      <c r="BN3" s="3"/>
      <c r="BO3" s="3"/>
      <c r="BP3" s="6">
        <f t="shared" si="3"/>
        <v>0.2</v>
      </c>
      <c r="BQ3" s="10" t="s">
        <v>113</v>
      </c>
      <c r="BR3" s="10" t="s">
        <v>114</v>
      </c>
      <c r="BS3" s="10" t="s">
        <v>115</v>
      </c>
      <c r="BT3" s="3"/>
    </row>
    <row r="4" spans="1:72" ht="173.25" customHeight="1" x14ac:dyDescent="0.25">
      <c r="A4" s="3">
        <v>3</v>
      </c>
      <c r="B4" s="4" t="s">
        <v>72</v>
      </c>
      <c r="C4" s="4" t="s">
        <v>73</v>
      </c>
      <c r="D4" s="4" t="s">
        <v>116</v>
      </c>
      <c r="E4" s="4" t="s">
        <v>97</v>
      </c>
      <c r="F4" s="4" t="s">
        <v>75</v>
      </c>
      <c r="G4" s="4" t="s">
        <v>117</v>
      </c>
      <c r="H4" s="4" t="s">
        <v>118</v>
      </c>
      <c r="I4" s="4" t="s">
        <v>119</v>
      </c>
      <c r="J4" s="4" t="s">
        <v>120</v>
      </c>
      <c r="K4" s="4" t="s">
        <v>121</v>
      </c>
      <c r="L4" s="4" t="s">
        <v>122</v>
      </c>
      <c r="M4" s="4" t="s">
        <v>123</v>
      </c>
      <c r="N4" s="4"/>
      <c r="O4" s="4"/>
      <c r="P4" s="4"/>
      <c r="Q4" s="4"/>
      <c r="R4" s="4"/>
      <c r="S4" s="4" t="s">
        <v>124</v>
      </c>
      <c r="T4" s="4" t="s">
        <v>105</v>
      </c>
      <c r="U4" s="4" t="s">
        <v>125</v>
      </c>
      <c r="V4" s="5">
        <v>18</v>
      </c>
      <c r="W4" s="4">
        <v>12</v>
      </c>
      <c r="X4" s="4" t="s">
        <v>86</v>
      </c>
      <c r="Y4" s="4">
        <v>2</v>
      </c>
      <c r="Z4" s="6">
        <v>12</v>
      </c>
      <c r="AA4" s="3"/>
      <c r="AB4" s="7"/>
      <c r="AC4" s="7"/>
      <c r="AD4" s="6"/>
      <c r="AE4" s="6"/>
      <c r="AF4" s="6">
        <f t="shared" si="0"/>
        <v>0.16666666666666666</v>
      </c>
      <c r="AG4" s="3" t="s">
        <v>126</v>
      </c>
      <c r="AH4" s="3"/>
      <c r="AI4" s="3"/>
      <c r="AJ4" s="4"/>
      <c r="AK4" s="4">
        <v>2</v>
      </c>
      <c r="AL4" s="4">
        <v>12</v>
      </c>
      <c r="AM4" s="3"/>
      <c r="AN4" s="7"/>
      <c r="AO4" s="7"/>
      <c r="AP4" s="6"/>
      <c r="AQ4" s="6"/>
      <c r="AR4" s="8">
        <f t="shared" si="1"/>
        <v>0.16666666666666666</v>
      </c>
      <c r="AS4" s="3" t="s">
        <v>127</v>
      </c>
      <c r="AT4" s="3"/>
      <c r="AU4" s="3"/>
      <c r="AV4" s="3"/>
      <c r="AW4" s="3">
        <v>2</v>
      </c>
      <c r="AX4" s="3">
        <v>12</v>
      </c>
      <c r="AY4" s="3"/>
      <c r="AZ4" s="3"/>
      <c r="BA4" s="3"/>
      <c r="BB4" s="3"/>
      <c r="BC4" s="3"/>
      <c r="BD4" s="9">
        <f t="shared" si="2"/>
        <v>0.16666666666666666</v>
      </c>
      <c r="BE4" s="3" t="s">
        <v>128</v>
      </c>
      <c r="BF4" s="3"/>
      <c r="BG4" s="3"/>
      <c r="BH4" s="3"/>
      <c r="BI4" s="10">
        <v>4</v>
      </c>
      <c r="BJ4" s="10">
        <v>12</v>
      </c>
      <c r="BK4" s="3"/>
      <c r="BL4" s="3"/>
      <c r="BM4" s="3"/>
      <c r="BN4" s="3"/>
      <c r="BO4" s="3"/>
      <c r="BP4" s="6">
        <f t="shared" si="3"/>
        <v>0.33333333333333331</v>
      </c>
      <c r="BQ4" s="10" t="s">
        <v>129</v>
      </c>
      <c r="BR4" s="10" t="s">
        <v>130</v>
      </c>
      <c r="BS4" s="10" t="s">
        <v>130</v>
      </c>
      <c r="BT4" s="3"/>
    </row>
    <row r="5" spans="1:72" ht="22.5" customHeight="1" x14ac:dyDescent="0.25">
      <c r="A5" s="3">
        <v>4</v>
      </c>
      <c r="B5" s="4" t="s">
        <v>72</v>
      </c>
      <c r="C5" s="4"/>
      <c r="D5" s="4" t="s">
        <v>131</v>
      </c>
      <c r="E5" s="4" t="s">
        <v>132</v>
      </c>
      <c r="F5" s="4"/>
      <c r="G5" s="4" t="s">
        <v>133</v>
      </c>
      <c r="H5" s="4" t="s">
        <v>134</v>
      </c>
      <c r="I5" s="4" t="s">
        <v>135</v>
      </c>
      <c r="J5" s="4"/>
      <c r="K5" s="4" t="s">
        <v>136</v>
      </c>
      <c r="L5" s="4" t="s">
        <v>137</v>
      </c>
      <c r="M5" s="4" t="s">
        <v>138</v>
      </c>
      <c r="N5" s="4"/>
      <c r="O5" s="4"/>
      <c r="P5" s="4"/>
      <c r="Q5" s="4"/>
      <c r="R5" s="4"/>
      <c r="S5" s="4" t="s">
        <v>139</v>
      </c>
      <c r="T5" s="4" t="s">
        <v>84</v>
      </c>
      <c r="U5" s="4"/>
      <c r="V5" s="5"/>
      <c r="W5" s="4"/>
      <c r="X5" s="4" t="s">
        <v>140</v>
      </c>
      <c r="Y5" s="4"/>
      <c r="Z5" s="6"/>
      <c r="AA5" s="3"/>
      <c r="AB5" s="7"/>
      <c r="AC5" s="7"/>
      <c r="AD5" s="6"/>
      <c r="AE5" s="6"/>
      <c r="AF5" s="6"/>
      <c r="AG5" s="3"/>
      <c r="AH5" s="3"/>
      <c r="AI5" s="3"/>
      <c r="AJ5" s="3"/>
      <c r="AK5" s="3"/>
      <c r="AL5" s="3"/>
      <c r="AM5" s="3"/>
      <c r="AN5" s="3"/>
      <c r="AO5" s="3"/>
      <c r="AP5" s="3"/>
      <c r="AQ5" s="3"/>
      <c r="AR5" s="3"/>
      <c r="AS5" s="3"/>
      <c r="AT5" s="3"/>
      <c r="AU5" s="3"/>
      <c r="AV5" s="3"/>
      <c r="AW5" s="3"/>
      <c r="AX5" s="3"/>
      <c r="AY5" s="3"/>
      <c r="AZ5" s="3"/>
      <c r="BA5" s="3"/>
      <c r="BB5" s="3"/>
      <c r="BC5" s="3"/>
      <c r="BD5" s="9"/>
      <c r="BE5" s="3"/>
      <c r="BF5" s="3"/>
      <c r="BG5" s="3"/>
      <c r="BH5" s="3"/>
      <c r="BI5" s="3"/>
      <c r="BJ5" s="3"/>
      <c r="BK5" s="3"/>
      <c r="BL5" s="3"/>
      <c r="BM5" s="3"/>
      <c r="BN5" s="3"/>
      <c r="BO5" s="3"/>
      <c r="BP5" s="6"/>
      <c r="BQ5" s="3"/>
      <c r="BR5" s="3"/>
      <c r="BS5" s="3"/>
      <c r="BT5" s="3"/>
    </row>
    <row r="6" spans="1:72" ht="22.5" customHeight="1" x14ac:dyDescent="0.25">
      <c r="A6" s="3">
        <v>5</v>
      </c>
      <c r="B6" s="4" t="s">
        <v>72</v>
      </c>
      <c r="C6" s="4"/>
      <c r="D6" s="4" t="s">
        <v>131</v>
      </c>
      <c r="E6" s="4" t="s">
        <v>132</v>
      </c>
      <c r="F6" s="4"/>
      <c r="G6" s="4" t="s">
        <v>141</v>
      </c>
      <c r="H6" s="4" t="s">
        <v>142</v>
      </c>
      <c r="I6" s="4" t="s">
        <v>143</v>
      </c>
      <c r="J6" s="4"/>
      <c r="K6" s="4" t="s">
        <v>136</v>
      </c>
      <c r="L6" s="4" t="s">
        <v>137</v>
      </c>
      <c r="M6" s="4" t="s">
        <v>138</v>
      </c>
      <c r="N6" s="4"/>
      <c r="O6" s="4"/>
      <c r="P6" s="4"/>
      <c r="Q6" s="4"/>
      <c r="R6" s="4"/>
      <c r="S6" s="4" t="s">
        <v>139</v>
      </c>
      <c r="T6" s="4" t="s">
        <v>84</v>
      </c>
      <c r="U6" s="4"/>
      <c r="V6" s="5"/>
      <c r="W6" s="4"/>
      <c r="X6" s="4" t="s">
        <v>140</v>
      </c>
      <c r="Y6" s="4"/>
      <c r="Z6" s="6"/>
      <c r="AA6" s="3"/>
      <c r="AB6" s="7"/>
      <c r="AC6" s="7"/>
      <c r="AD6" s="6"/>
      <c r="AE6" s="6"/>
      <c r="AF6" s="6"/>
      <c r="AG6" s="3"/>
      <c r="AH6" s="3"/>
      <c r="AI6" s="3"/>
      <c r="AJ6" s="3"/>
      <c r="AK6" s="3"/>
      <c r="AL6" s="3"/>
      <c r="AM6" s="3"/>
      <c r="AN6" s="3"/>
      <c r="AO6" s="3"/>
      <c r="AP6" s="3"/>
      <c r="AQ6" s="3"/>
      <c r="AR6" s="3"/>
      <c r="AS6" s="3"/>
      <c r="AT6" s="3"/>
      <c r="AU6" s="3"/>
      <c r="AV6" s="3"/>
      <c r="AW6" s="3"/>
      <c r="AX6" s="3"/>
      <c r="AY6" s="3"/>
      <c r="AZ6" s="3"/>
      <c r="BA6" s="3"/>
      <c r="BB6" s="3"/>
      <c r="BC6" s="3"/>
      <c r="BD6" s="9"/>
      <c r="BE6" s="3"/>
      <c r="BF6" s="3"/>
      <c r="BG6" s="3"/>
      <c r="BH6" s="3"/>
      <c r="BI6" s="3"/>
      <c r="BJ6" s="3"/>
      <c r="BK6" s="3"/>
      <c r="BL6" s="3"/>
      <c r="BM6" s="3"/>
      <c r="BN6" s="3"/>
      <c r="BO6" s="3"/>
      <c r="BP6" s="6"/>
      <c r="BQ6" s="3"/>
      <c r="BR6" s="3"/>
      <c r="BS6" s="3"/>
      <c r="BT6" s="3"/>
    </row>
    <row r="7" spans="1:72" ht="148.5" customHeight="1" x14ac:dyDescent="0.25">
      <c r="A7" s="3">
        <v>6</v>
      </c>
      <c r="B7" s="4" t="s">
        <v>144</v>
      </c>
      <c r="C7" s="4" t="s">
        <v>73</v>
      </c>
      <c r="D7" s="4" t="s">
        <v>145</v>
      </c>
      <c r="E7" s="4" t="s">
        <v>74</v>
      </c>
      <c r="F7" s="4" t="s">
        <v>75</v>
      </c>
      <c r="G7" s="4" t="s">
        <v>146</v>
      </c>
      <c r="H7" s="4" t="s">
        <v>147</v>
      </c>
      <c r="I7" s="4" t="s">
        <v>148</v>
      </c>
      <c r="J7" s="4" t="s">
        <v>149</v>
      </c>
      <c r="K7" s="4" t="s">
        <v>150</v>
      </c>
      <c r="L7" s="4" t="s">
        <v>151</v>
      </c>
      <c r="M7" s="4" t="s">
        <v>152</v>
      </c>
      <c r="N7" s="4"/>
      <c r="O7" s="4"/>
      <c r="P7" s="4"/>
      <c r="Q7" s="4"/>
      <c r="R7" s="4"/>
      <c r="S7" s="4" t="s">
        <v>139</v>
      </c>
      <c r="T7" s="4" t="s">
        <v>105</v>
      </c>
      <c r="U7" s="4" t="s">
        <v>153</v>
      </c>
      <c r="V7" s="5">
        <v>74886</v>
      </c>
      <c r="W7" s="4">
        <v>85000</v>
      </c>
      <c r="X7" s="4" t="s">
        <v>86</v>
      </c>
      <c r="Y7" s="4">
        <v>79607</v>
      </c>
      <c r="Z7" s="6">
        <v>135396</v>
      </c>
      <c r="AA7" s="3"/>
      <c r="AB7" s="7"/>
      <c r="AC7" s="7"/>
      <c r="AD7" s="6"/>
      <c r="AE7" s="6"/>
      <c r="AF7" s="6">
        <f t="shared" ref="AF7:AF8" si="4">Y7/Z7</f>
        <v>0.58795680817749418</v>
      </c>
      <c r="AG7" s="3" t="s">
        <v>154</v>
      </c>
      <c r="AH7" s="3" t="s">
        <v>155</v>
      </c>
      <c r="AI7" s="3"/>
      <c r="AJ7" s="3"/>
      <c r="AK7" s="3">
        <v>81936</v>
      </c>
      <c r="AL7" s="3">
        <v>136010</v>
      </c>
      <c r="AM7" s="3"/>
      <c r="AN7" s="3"/>
      <c r="AO7" s="3"/>
      <c r="AP7" s="3"/>
      <c r="AQ7" s="3"/>
      <c r="AR7" s="3">
        <f t="shared" ref="AR7:AR8" si="5">AK7/AL7</f>
        <v>0.60242629218439825</v>
      </c>
      <c r="AS7" s="3" t="s">
        <v>156</v>
      </c>
      <c r="AT7" s="3" t="s">
        <v>157</v>
      </c>
      <c r="AU7" s="3"/>
      <c r="AV7" s="3"/>
      <c r="AW7" s="3">
        <v>84159</v>
      </c>
      <c r="AX7" s="3">
        <v>136010</v>
      </c>
      <c r="AY7" s="3"/>
      <c r="AZ7" s="3"/>
      <c r="BA7" s="3"/>
      <c r="BB7" s="3"/>
      <c r="BC7" s="3"/>
      <c r="BD7" s="9">
        <f t="shared" ref="BD7:BD8" si="6">AW7/AX7</f>
        <v>0.61877067862657154</v>
      </c>
      <c r="BE7" s="3" t="s">
        <v>158</v>
      </c>
      <c r="BF7" s="3" t="s">
        <v>159</v>
      </c>
      <c r="BG7" s="3"/>
      <c r="BH7" s="3"/>
      <c r="BI7" s="10">
        <v>84159</v>
      </c>
      <c r="BJ7" s="10">
        <v>136010</v>
      </c>
      <c r="BK7" s="3"/>
      <c r="BL7" s="3"/>
      <c r="BM7" s="3"/>
      <c r="BN7" s="3"/>
      <c r="BO7" s="3"/>
      <c r="BP7" s="6">
        <f t="shared" ref="BP7:BP8" si="7">BI7/BJ7</f>
        <v>0.61877067862657154</v>
      </c>
      <c r="BQ7" s="10" t="s">
        <v>160</v>
      </c>
      <c r="BR7" s="10" t="s">
        <v>161</v>
      </c>
      <c r="BS7" s="10" t="s">
        <v>130</v>
      </c>
      <c r="BT7" s="3"/>
    </row>
    <row r="8" spans="1:72" ht="171" customHeight="1" x14ac:dyDescent="0.25">
      <c r="A8" s="3">
        <v>7</v>
      </c>
      <c r="B8" s="4" t="s">
        <v>72</v>
      </c>
      <c r="C8" s="4" t="s">
        <v>162</v>
      </c>
      <c r="D8" s="4" t="s">
        <v>145</v>
      </c>
      <c r="E8" s="4" t="s">
        <v>74</v>
      </c>
      <c r="F8" s="4" t="s">
        <v>75</v>
      </c>
      <c r="G8" s="4" t="s">
        <v>163</v>
      </c>
      <c r="H8" s="4" t="s">
        <v>164</v>
      </c>
      <c r="I8" s="4" t="s">
        <v>165</v>
      </c>
      <c r="J8" s="4" t="s">
        <v>166</v>
      </c>
      <c r="K8" s="4" t="s">
        <v>121</v>
      </c>
      <c r="L8" s="4" t="s">
        <v>167</v>
      </c>
      <c r="M8" s="4" t="s">
        <v>168</v>
      </c>
      <c r="N8" s="4"/>
      <c r="O8" s="4"/>
      <c r="P8" s="4"/>
      <c r="Q8" s="4"/>
      <c r="R8" s="4"/>
      <c r="S8" s="4" t="s">
        <v>139</v>
      </c>
      <c r="T8" s="4" t="s">
        <v>84</v>
      </c>
      <c r="U8" s="4" t="s">
        <v>169</v>
      </c>
      <c r="V8" s="5">
        <v>34531</v>
      </c>
      <c r="W8" s="4">
        <v>4800</v>
      </c>
      <c r="X8" s="4" t="s">
        <v>86</v>
      </c>
      <c r="Y8" s="4">
        <v>36761</v>
      </c>
      <c r="Z8" s="6">
        <v>135396</v>
      </c>
      <c r="AA8" s="3"/>
      <c r="AB8" s="7"/>
      <c r="AC8" s="7"/>
      <c r="AD8" s="6"/>
      <c r="AE8" s="6"/>
      <c r="AF8" s="6">
        <f t="shared" si="4"/>
        <v>0.2715072823421667</v>
      </c>
      <c r="AG8" s="3" t="s">
        <v>170</v>
      </c>
      <c r="AH8" s="3" t="s">
        <v>171</v>
      </c>
      <c r="AI8" s="3"/>
      <c r="AJ8" s="3"/>
      <c r="AK8" s="3">
        <v>37908</v>
      </c>
      <c r="AL8" s="3">
        <v>136010</v>
      </c>
      <c r="AM8" s="3"/>
      <c r="AN8" s="3"/>
      <c r="AO8" s="3"/>
      <c r="AP8" s="3"/>
      <c r="AQ8" s="3"/>
      <c r="AR8" s="3">
        <f t="shared" si="5"/>
        <v>0.27871480038232482</v>
      </c>
      <c r="AS8" s="3" t="s">
        <v>172</v>
      </c>
      <c r="AT8" s="3" t="s">
        <v>173</v>
      </c>
      <c r="AU8" s="3"/>
      <c r="AV8" s="3"/>
      <c r="AW8" s="11">
        <v>37556</v>
      </c>
      <c r="AX8" s="11">
        <v>136010</v>
      </c>
      <c r="AY8" s="3"/>
      <c r="AZ8" s="3"/>
      <c r="BA8" s="3"/>
      <c r="BB8" s="3"/>
      <c r="BC8" s="3"/>
      <c r="BD8" s="9">
        <f t="shared" si="6"/>
        <v>0.27612675538563342</v>
      </c>
      <c r="BE8" s="3" t="s">
        <v>174</v>
      </c>
      <c r="BF8" s="3" t="s">
        <v>175</v>
      </c>
      <c r="BG8" s="3"/>
      <c r="BH8" s="3"/>
      <c r="BI8" s="10">
        <v>37967</v>
      </c>
      <c r="BJ8" s="10">
        <v>136010</v>
      </c>
      <c r="BK8" s="3"/>
      <c r="BL8" s="3"/>
      <c r="BM8" s="3"/>
      <c r="BN8" s="3"/>
      <c r="BO8" s="3"/>
      <c r="BP8" s="6">
        <f t="shared" si="7"/>
        <v>0.27914859201529302</v>
      </c>
      <c r="BQ8" s="10" t="s">
        <v>176</v>
      </c>
      <c r="BR8" s="10" t="s">
        <v>177</v>
      </c>
      <c r="BS8" s="10" t="s">
        <v>130</v>
      </c>
      <c r="BT8" s="3"/>
    </row>
    <row r="9" spans="1:72" ht="176.25" customHeight="1" x14ac:dyDescent="0.25">
      <c r="A9" s="3">
        <v>8</v>
      </c>
      <c r="B9" s="4" t="s">
        <v>72</v>
      </c>
      <c r="C9" s="4" t="s">
        <v>162</v>
      </c>
      <c r="D9" s="4" t="s">
        <v>145</v>
      </c>
      <c r="E9" s="4" t="s">
        <v>74</v>
      </c>
      <c r="F9" s="4" t="s">
        <v>178</v>
      </c>
      <c r="G9" s="4" t="s">
        <v>179</v>
      </c>
      <c r="H9" s="4" t="s">
        <v>180</v>
      </c>
      <c r="I9" s="4" t="s">
        <v>181</v>
      </c>
      <c r="J9" s="4" t="s">
        <v>182</v>
      </c>
      <c r="K9" s="4" t="s">
        <v>183</v>
      </c>
      <c r="L9" s="4" t="s">
        <v>184</v>
      </c>
      <c r="M9" s="4" t="s">
        <v>185</v>
      </c>
      <c r="N9" s="4" t="s">
        <v>186</v>
      </c>
      <c r="O9" s="4" t="s">
        <v>187</v>
      </c>
      <c r="P9" s="4" t="s">
        <v>188</v>
      </c>
      <c r="Q9" s="4"/>
      <c r="R9" s="4"/>
      <c r="S9" s="4" t="s">
        <v>139</v>
      </c>
      <c r="T9" s="4" t="s">
        <v>105</v>
      </c>
      <c r="U9" s="4" t="s">
        <v>189</v>
      </c>
      <c r="V9" s="5">
        <v>761473</v>
      </c>
      <c r="W9" s="4">
        <v>250000</v>
      </c>
      <c r="X9" s="4" t="s">
        <v>86</v>
      </c>
      <c r="Y9" s="4">
        <v>0</v>
      </c>
      <c r="Z9" s="6">
        <v>16694</v>
      </c>
      <c r="AA9" s="4">
        <v>0</v>
      </c>
      <c r="AB9" s="4">
        <v>92</v>
      </c>
      <c r="AC9" s="4">
        <v>0</v>
      </c>
      <c r="AD9" s="6"/>
      <c r="AE9" s="6"/>
      <c r="AF9" s="6">
        <f>SUM(Y9:AC9)</f>
        <v>16786</v>
      </c>
      <c r="AG9" s="3" t="s">
        <v>190</v>
      </c>
      <c r="AH9" s="3" t="s">
        <v>191</v>
      </c>
      <c r="AI9" s="3"/>
      <c r="AJ9" s="3"/>
      <c r="AK9" s="3">
        <v>0</v>
      </c>
      <c r="AL9" s="3">
        <v>6444</v>
      </c>
      <c r="AM9" s="3">
        <v>0</v>
      </c>
      <c r="AN9" s="3">
        <v>176</v>
      </c>
      <c r="AO9" s="3">
        <v>14</v>
      </c>
      <c r="AP9" s="3"/>
      <c r="AQ9" s="3"/>
      <c r="AR9" s="6">
        <f>SUM(AK9:AO9)</f>
        <v>6634</v>
      </c>
      <c r="AS9" s="3" t="s">
        <v>192</v>
      </c>
      <c r="AT9" s="3" t="s">
        <v>193</v>
      </c>
      <c r="AU9" s="3"/>
      <c r="AV9" s="3"/>
      <c r="AW9" s="3">
        <v>0</v>
      </c>
      <c r="AX9" s="11">
        <v>7554</v>
      </c>
      <c r="AY9" s="11">
        <v>89124</v>
      </c>
      <c r="AZ9" s="3">
        <v>238</v>
      </c>
      <c r="BA9" s="3">
        <v>82</v>
      </c>
      <c r="BB9" s="3"/>
      <c r="BC9" s="3"/>
      <c r="BD9" s="9">
        <f>SUM(AW9:BA9)</f>
        <v>96998</v>
      </c>
      <c r="BE9" s="3" t="s">
        <v>194</v>
      </c>
      <c r="BF9" s="3" t="s">
        <v>195</v>
      </c>
      <c r="BG9" s="3"/>
      <c r="BH9" s="3"/>
      <c r="BI9" s="10">
        <v>18438</v>
      </c>
      <c r="BJ9" s="10">
        <v>18424</v>
      </c>
      <c r="BK9" s="10">
        <v>84241</v>
      </c>
      <c r="BL9" s="10">
        <v>0</v>
      </c>
      <c r="BM9" s="10">
        <v>0</v>
      </c>
      <c r="BN9" s="3"/>
      <c r="BO9" s="3"/>
      <c r="BP9" s="6">
        <f>SUM(BI9:BM9)</f>
        <v>121103</v>
      </c>
      <c r="BQ9" s="10" t="s">
        <v>196</v>
      </c>
      <c r="BR9" s="10" t="s">
        <v>197</v>
      </c>
      <c r="BS9" s="10" t="s">
        <v>130</v>
      </c>
      <c r="BT9" s="3"/>
    </row>
    <row r="10" spans="1:72" ht="22.5" customHeight="1" x14ac:dyDescent="0.25">
      <c r="A10" s="3">
        <v>9</v>
      </c>
      <c r="B10" s="4" t="s">
        <v>72</v>
      </c>
      <c r="C10" s="4"/>
      <c r="D10" s="4" t="s">
        <v>131</v>
      </c>
      <c r="E10" s="4" t="s">
        <v>132</v>
      </c>
      <c r="F10" s="4"/>
      <c r="G10" s="4" t="s">
        <v>198</v>
      </c>
      <c r="H10" s="4" t="s">
        <v>199</v>
      </c>
      <c r="I10" s="4" t="s">
        <v>200</v>
      </c>
      <c r="J10" s="4"/>
      <c r="K10" s="4" t="s">
        <v>201</v>
      </c>
      <c r="L10" s="4" t="s">
        <v>202</v>
      </c>
      <c r="M10" s="4" t="s">
        <v>203</v>
      </c>
      <c r="N10" s="4"/>
      <c r="O10" s="4"/>
      <c r="P10" s="4"/>
      <c r="Q10" s="4"/>
      <c r="R10" s="4"/>
      <c r="S10" s="4" t="s">
        <v>139</v>
      </c>
      <c r="T10" s="4" t="s">
        <v>84</v>
      </c>
      <c r="U10" s="4"/>
      <c r="V10" s="5"/>
      <c r="W10" s="4"/>
      <c r="X10" s="4" t="s">
        <v>140</v>
      </c>
      <c r="Y10" s="4"/>
      <c r="Z10" s="6"/>
      <c r="AA10" s="3"/>
      <c r="AB10" s="7"/>
      <c r="AC10" s="7"/>
      <c r="AD10" s="6"/>
      <c r="AE10" s="6"/>
      <c r="AF10" s="6"/>
      <c r="AG10" s="3"/>
      <c r="AH10" s="3"/>
      <c r="AI10" s="3"/>
      <c r="AJ10" s="3"/>
      <c r="AK10" s="3"/>
      <c r="AL10" s="3"/>
      <c r="AM10" s="3"/>
      <c r="AN10" s="3"/>
      <c r="AO10" s="3"/>
      <c r="AP10" s="3"/>
      <c r="AQ10" s="3"/>
      <c r="AR10" s="3"/>
      <c r="AS10" s="3"/>
      <c r="AT10" s="3"/>
      <c r="AU10" s="3"/>
      <c r="AV10" s="3"/>
      <c r="AW10" s="3"/>
      <c r="AX10" s="3"/>
      <c r="AY10" s="3"/>
      <c r="AZ10" s="3"/>
      <c r="BA10" s="3"/>
      <c r="BB10" s="3"/>
      <c r="BC10" s="3"/>
      <c r="BD10" s="9"/>
      <c r="BE10" s="3"/>
      <c r="BF10" s="3"/>
      <c r="BG10" s="3"/>
      <c r="BH10" s="3"/>
      <c r="BI10" s="3"/>
      <c r="BJ10" s="3"/>
      <c r="BK10" s="3"/>
      <c r="BL10" s="3"/>
      <c r="BM10" s="3"/>
      <c r="BN10" s="3"/>
      <c r="BO10" s="3"/>
      <c r="BP10" s="6"/>
      <c r="BQ10" s="3"/>
      <c r="BR10" s="3"/>
      <c r="BS10" s="3"/>
      <c r="BT10" s="3"/>
    </row>
    <row r="11" spans="1:72" ht="22.5" customHeight="1" x14ac:dyDescent="0.25">
      <c r="A11" s="3">
        <v>10</v>
      </c>
      <c r="B11" s="4" t="s">
        <v>72</v>
      </c>
      <c r="C11" s="4"/>
      <c r="D11" s="4" t="s">
        <v>131</v>
      </c>
      <c r="E11" s="4" t="s">
        <v>132</v>
      </c>
      <c r="F11" s="4"/>
      <c r="G11" s="4" t="s">
        <v>204</v>
      </c>
      <c r="H11" s="4" t="s">
        <v>205</v>
      </c>
      <c r="I11" s="4" t="s">
        <v>206</v>
      </c>
      <c r="J11" s="4"/>
      <c r="K11" s="4" t="s">
        <v>207</v>
      </c>
      <c r="L11" s="4" t="s">
        <v>208</v>
      </c>
      <c r="M11" s="4" t="s">
        <v>209</v>
      </c>
      <c r="N11" s="4"/>
      <c r="O11" s="4"/>
      <c r="P11" s="4"/>
      <c r="Q11" s="4"/>
      <c r="R11" s="4"/>
      <c r="S11" s="4" t="s">
        <v>139</v>
      </c>
      <c r="T11" s="4" t="s">
        <v>84</v>
      </c>
      <c r="U11" s="4"/>
      <c r="V11" s="5"/>
      <c r="W11" s="4"/>
      <c r="X11" s="4" t="s">
        <v>140</v>
      </c>
      <c r="Y11" s="4"/>
      <c r="Z11" s="6"/>
      <c r="AA11" s="3"/>
      <c r="AB11" s="7"/>
      <c r="AC11" s="7"/>
      <c r="AD11" s="6"/>
      <c r="AE11" s="6"/>
      <c r="AF11" s="6"/>
      <c r="AG11" s="3"/>
      <c r="AH11" s="3"/>
      <c r="AI11" s="3"/>
      <c r="AJ11" s="3"/>
      <c r="AK11" s="3"/>
      <c r="AL11" s="3"/>
      <c r="AM11" s="3"/>
      <c r="AN11" s="3"/>
      <c r="AO11" s="3"/>
      <c r="AP11" s="3"/>
      <c r="AQ11" s="3"/>
      <c r="AR11" s="3"/>
      <c r="AS11" s="3"/>
      <c r="AT11" s="3"/>
      <c r="AU11" s="3"/>
      <c r="AV11" s="3"/>
      <c r="AW11" s="3"/>
      <c r="AX11" s="3"/>
      <c r="AY11" s="3"/>
      <c r="AZ11" s="3"/>
      <c r="BA11" s="3"/>
      <c r="BB11" s="3"/>
      <c r="BC11" s="3"/>
      <c r="BD11" s="9"/>
      <c r="BE11" s="3"/>
      <c r="BF11" s="3"/>
      <c r="BG11" s="3"/>
      <c r="BH11" s="3"/>
      <c r="BI11" s="3"/>
      <c r="BJ11" s="3"/>
      <c r="BK11" s="3"/>
      <c r="BL11" s="3"/>
      <c r="BM11" s="3"/>
      <c r="BN11" s="3"/>
      <c r="BO11" s="3"/>
      <c r="BP11" s="6"/>
      <c r="BQ11" s="3"/>
      <c r="BR11" s="3"/>
      <c r="BS11" s="3"/>
      <c r="BT11" s="3"/>
    </row>
    <row r="12" spans="1:72" ht="173.25" customHeight="1" x14ac:dyDescent="0.25">
      <c r="A12" s="3">
        <v>11</v>
      </c>
      <c r="B12" s="4" t="s">
        <v>72</v>
      </c>
      <c r="C12" s="4" t="s">
        <v>73</v>
      </c>
      <c r="D12" s="4" t="s">
        <v>210</v>
      </c>
      <c r="E12" s="4" t="s">
        <v>74</v>
      </c>
      <c r="F12" s="4" t="s">
        <v>75</v>
      </c>
      <c r="G12" s="4" t="s">
        <v>211</v>
      </c>
      <c r="H12" s="4" t="s">
        <v>212</v>
      </c>
      <c r="I12" s="4" t="s">
        <v>213</v>
      </c>
      <c r="J12" s="4" t="s">
        <v>214</v>
      </c>
      <c r="K12" s="4" t="s">
        <v>215</v>
      </c>
      <c r="L12" s="4" t="s">
        <v>216</v>
      </c>
      <c r="M12" s="4" t="s">
        <v>217</v>
      </c>
      <c r="N12" s="4"/>
      <c r="O12" s="4"/>
      <c r="P12" s="4"/>
      <c r="Q12" s="4"/>
      <c r="R12" s="4"/>
      <c r="S12" s="4" t="s">
        <v>83</v>
      </c>
      <c r="T12" s="4" t="s">
        <v>84</v>
      </c>
      <c r="U12" s="4" t="s">
        <v>218</v>
      </c>
      <c r="V12" s="5">
        <v>104</v>
      </c>
      <c r="W12" s="4">
        <v>80</v>
      </c>
      <c r="X12" s="4" t="s">
        <v>219</v>
      </c>
      <c r="Y12" s="4">
        <v>2</v>
      </c>
      <c r="Z12" s="6">
        <v>4</v>
      </c>
      <c r="AA12" s="3"/>
      <c r="AB12" s="7"/>
      <c r="AC12" s="7"/>
      <c r="AD12" s="6"/>
      <c r="AE12" s="6"/>
      <c r="AF12" s="6">
        <f t="shared" ref="AF12:AF13" si="8">Y12/Z12</f>
        <v>0.5</v>
      </c>
      <c r="AG12" s="3" t="s">
        <v>220</v>
      </c>
      <c r="AH12" s="3" t="s">
        <v>221</v>
      </c>
      <c r="AI12" s="3"/>
      <c r="AJ12" s="3"/>
      <c r="AK12" s="3">
        <v>7</v>
      </c>
      <c r="AL12" s="3">
        <v>23</v>
      </c>
      <c r="AM12" s="3"/>
      <c r="AN12" s="3"/>
      <c r="AO12" s="3"/>
      <c r="AP12" s="3"/>
      <c r="AQ12" s="3"/>
      <c r="AR12" s="6">
        <f t="shared" ref="AR12:AR13" si="9">AK12/AL12</f>
        <v>0.30434782608695654</v>
      </c>
      <c r="AS12" s="3" t="s">
        <v>222</v>
      </c>
      <c r="AT12" s="3" t="s">
        <v>223</v>
      </c>
      <c r="AU12" s="3"/>
      <c r="AV12" s="3"/>
      <c r="AW12" s="3">
        <v>0</v>
      </c>
      <c r="AX12" s="3">
        <v>1</v>
      </c>
      <c r="AY12" s="3"/>
      <c r="AZ12" s="3"/>
      <c r="BA12" s="3"/>
      <c r="BB12" s="3"/>
      <c r="BC12" s="3"/>
      <c r="BD12" s="9">
        <f t="shared" ref="BD12:BD13" si="10">AW12/AX12</f>
        <v>0</v>
      </c>
      <c r="BE12" s="3" t="s">
        <v>224</v>
      </c>
      <c r="BF12" s="3" t="s">
        <v>225</v>
      </c>
      <c r="BG12" s="3"/>
      <c r="BH12" s="3"/>
      <c r="BI12" s="10">
        <v>2</v>
      </c>
      <c r="BJ12" s="10">
        <v>3</v>
      </c>
      <c r="BK12" s="3"/>
      <c r="BL12" s="3"/>
      <c r="BM12" s="3"/>
      <c r="BN12" s="3"/>
      <c r="BO12" s="3"/>
      <c r="BP12" s="6">
        <f t="shared" ref="BP12:BP13" si="11">BI12/BJ12</f>
        <v>0.66666666666666663</v>
      </c>
      <c r="BQ12" s="10" t="s">
        <v>226</v>
      </c>
      <c r="BR12" s="10" t="s">
        <v>227</v>
      </c>
      <c r="BS12" s="10" t="s">
        <v>130</v>
      </c>
      <c r="BT12" s="3"/>
    </row>
    <row r="13" spans="1:72" ht="149.25" customHeight="1" x14ac:dyDescent="0.25">
      <c r="A13" s="3">
        <v>12</v>
      </c>
      <c r="B13" s="4" t="s">
        <v>72</v>
      </c>
      <c r="C13" s="4" t="s">
        <v>73</v>
      </c>
      <c r="D13" s="4" t="s">
        <v>210</v>
      </c>
      <c r="E13" s="4" t="s">
        <v>74</v>
      </c>
      <c r="F13" s="4" t="s">
        <v>75</v>
      </c>
      <c r="G13" s="4" t="s">
        <v>228</v>
      </c>
      <c r="H13" s="4" t="s">
        <v>229</v>
      </c>
      <c r="I13" s="4" t="s">
        <v>230</v>
      </c>
      <c r="J13" s="4" t="s">
        <v>231</v>
      </c>
      <c r="K13" s="4" t="s">
        <v>215</v>
      </c>
      <c r="L13" s="4" t="s">
        <v>232</v>
      </c>
      <c r="M13" s="4" t="s">
        <v>233</v>
      </c>
      <c r="N13" s="4"/>
      <c r="O13" s="4"/>
      <c r="P13" s="4"/>
      <c r="Q13" s="4"/>
      <c r="R13" s="4"/>
      <c r="S13" s="4" t="s">
        <v>83</v>
      </c>
      <c r="T13" s="4" t="s">
        <v>84</v>
      </c>
      <c r="U13" s="4" t="s">
        <v>218</v>
      </c>
      <c r="V13" s="5">
        <v>77</v>
      </c>
      <c r="W13" s="4">
        <v>56</v>
      </c>
      <c r="X13" s="4" t="s">
        <v>219</v>
      </c>
      <c r="Y13" s="4">
        <v>3</v>
      </c>
      <c r="Z13" s="6">
        <v>33</v>
      </c>
      <c r="AA13" s="3"/>
      <c r="AB13" s="7"/>
      <c r="AC13" s="7"/>
      <c r="AD13" s="6"/>
      <c r="AE13" s="6"/>
      <c r="AF13" s="6">
        <f t="shared" si="8"/>
        <v>9.0909090909090912E-2</v>
      </c>
      <c r="AG13" s="3" t="s">
        <v>234</v>
      </c>
      <c r="AH13" s="3" t="s">
        <v>235</v>
      </c>
      <c r="AI13" s="3"/>
      <c r="AJ13" s="3"/>
      <c r="AK13" s="3">
        <v>2</v>
      </c>
      <c r="AL13" s="3">
        <v>36</v>
      </c>
      <c r="AM13" s="3"/>
      <c r="AN13" s="3"/>
      <c r="AO13" s="3"/>
      <c r="AP13" s="3"/>
      <c r="AQ13" s="3"/>
      <c r="AR13" s="6">
        <f t="shared" si="9"/>
        <v>5.5555555555555552E-2</v>
      </c>
      <c r="AS13" s="3" t="s">
        <v>236</v>
      </c>
      <c r="AT13" s="3" t="s">
        <v>237</v>
      </c>
      <c r="AU13" s="3"/>
      <c r="AV13" s="3"/>
      <c r="AW13" s="3">
        <v>0</v>
      </c>
      <c r="AX13" s="3">
        <v>36</v>
      </c>
      <c r="AY13" s="3"/>
      <c r="AZ13" s="3"/>
      <c r="BA13" s="3"/>
      <c r="BB13" s="3"/>
      <c r="BC13" s="3"/>
      <c r="BD13" s="9">
        <f t="shared" si="10"/>
        <v>0</v>
      </c>
      <c r="BE13" s="3" t="s">
        <v>238</v>
      </c>
      <c r="BF13" s="3" t="s">
        <v>239</v>
      </c>
      <c r="BG13" s="3"/>
      <c r="BH13" s="3"/>
      <c r="BI13" s="10">
        <v>1</v>
      </c>
      <c r="BJ13" s="10">
        <v>35</v>
      </c>
      <c r="BK13" s="3"/>
      <c r="BL13" s="3"/>
      <c r="BM13" s="3"/>
      <c r="BN13" s="3"/>
      <c r="BO13" s="3"/>
      <c r="BP13" s="6">
        <f t="shared" si="11"/>
        <v>2.8571428571428571E-2</v>
      </c>
      <c r="BQ13" s="10" t="s">
        <v>240</v>
      </c>
      <c r="BR13" s="10" t="s">
        <v>241</v>
      </c>
      <c r="BS13" s="10" t="s">
        <v>130</v>
      </c>
      <c r="BT13" s="10" t="s">
        <v>242</v>
      </c>
    </row>
    <row r="14" spans="1:72" ht="22.5" customHeight="1" x14ac:dyDescent="0.25">
      <c r="A14" s="3">
        <v>13</v>
      </c>
      <c r="B14" s="4" t="s">
        <v>72</v>
      </c>
      <c r="C14" s="4"/>
      <c r="D14" s="4" t="s">
        <v>243</v>
      </c>
      <c r="E14" s="4" t="s">
        <v>132</v>
      </c>
      <c r="F14" s="4"/>
      <c r="G14" s="4" t="s">
        <v>244</v>
      </c>
      <c r="H14" s="4" t="s">
        <v>245</v>
      </c>
      <c r="I14" s="4" t="s">
        <v>246</v>
      </c>
      <c r="J14" s="4"/>
      <c r="K14" s="4" t="s">
        <v>207</v>
      </c>
      <c r="L14" s="4" t="s">
        <v>208</v>
      </c>
      <c r="M14" s="4" t="s">
        <v>209</v>
      </c>
      <c r="N14" s="4"/>
      <c r="O14" s="4"/>
      <c r="P14" s="4"/>
      <c r="Q14" s="4"/>
      <c r="R14" s="4"/>
      <c r="S14" s="4" t="s">
        <v>139</v>
      </c>
      <c r="T14" s="4" t="s">
        <v>84</v>
      </c>
      <c r="U14" s="4"/>
      <c r="V14" s="5"/>
      <c r="W14" s="4"/>
      <c r="X14" s="4" t="s">
        <v>140</v>
      </c>
      <c r="Y14" s="4"/>
      <c r="Z14" s="6"/>
      <c r="AA14" s="3"/>
      <c r="AB14" s="7"/>
      <c r="AC14" s="7"/>
      <c r="AD14" s="6"/>
      <c r="AE14" s="6"/>
      <c r="AF14" s="6"/>
      <c r="AG14" s="3"/>
      <c r="AH14" s="3"/>
      <c r="AI14" s="3"/>
      <c r="AJ14" s="3"/>
      <c r="AK14" s="3"/>
      <c r="AL14" s="3"/>
      <c r="AM14" s="3"/>
      <c r="AN14" s="3"/>
      <c r="AO14" s="3"/>
      <c r="AP14" s="3"/>
      <c r="AQ14" s="3"/>
      <c r="AR14" s="3"/>
      <c r="AS14" s="3"/>
      <c r="AT14" s="3"/>
      <c r="AU14" s="3"/>
      <c r="AV14" s="3"/>
      <c r="AW14" s="3"/>
      <c r="AX14" s="3"/>
      <c r="AY14" s="3"/>
      <c r="AZ14" s="3"/>
      <c r="BA14" s="3"/>
      <c r="BB14" s="3"/>
      <c r="BC14" s="3"/>
      <c r="BD14" s="9"/>
      <c r="BE14" s="3"/>
      <c r="BF14" s="3"/>
      <c r="BG14" s="3"/>
      <c r="BH14" s="3"/>
      <c r="BI14" s="3"/>
      <c r="BJ14" s="3"/>
      <c r="BK14" s="3"/>
      <c r="BL14" s="3"/>
      <c r="BM14" s="3"/>
      <c r="BN14" s="3"/>
      <c r="BO14" s="3"/>
      <c r="BP14" s="6"/>
      <c r="BQ14" s="3"/>
      <c r="BR14" s="3"/>
      <c r="BS14" s="3"/>
      <c r="BT14" s="3"/>
    </row>
    <row r="15" spans="1:72" ht="128.25" customHeight="1" x14ac:dyDescent="0.25">
      <c r="A15" s="3">
        <v>14</v>
      </c>
      <c r="B15" s="4" t="s">
        <v>72</v>
      </c>
      <c r="C15" s="4" t="s">
        <v>73</v>
      </c>
      <c r="D15" s="4" t="s">
        <v>247</v>
      </c>
      <c r="E15" s="4" t="s">
        <v>74</v>
      </c>
      <c r="F15" s="4" t="s">
        <v>248</v>
      </c>
      <c r="G15" s="4" t="s">
        <v>249</v>
      </c>
      <c r="H15" s="4" t="s">
        <v>250</v>
      </c>
      <c r="I15" s="4" t="s">
        <v>251</v>
      </c>
      <c r="J15" s="4" t="s">
        <v>252</v>
      </c>
      <c r="K15" s="4" t="s">
        <v>121</v>
      </c>
      <c r="L15" s="4" t="s">
        <v>253</v>
      </c>
      <c r="M15" s="4" t="s">
        <v>254</v>
      </c>
      <c r="N15" s="4"/>
      <c r="O15" s="4"/>
      <c r="P15" s="4"/>
      <c r="Q15" s="4"/>
      <c r="R15" s="4"/>
      <c r="S15" s="4" t="s">
        <v>83</v>
      </c>
      <c r="T15" s="4" t="s">
        <v>105</v>
      </c>
      <c r="U15" s="4" t="s">
        <v>255</v>
      </c>
      <c r="V15" s="5">
        <v>73</v>
      </c>
      <c r="W15" s="4">
        <v>19</v>
      </c>
      <c r="X15" s="4" t="s">
        <v>86</v>
      </c>
      <c r="Y15" s="4">
        <v>0</v>
      </c>
      <c r="Z15" s="6">
        <v>19</v>
      </c>
      <c r="AA15" s="3"/>
      <c r="AB15" s="7"/>
      <c r="AC15" s="7"/>
      <c r="AD15" s="6"/>
      <c r="AE15" s="6"/>
      <c r="AF15" s="6">
        <f t="shared" ref="AF15:AF16" si="12">Y15/Z15</f>
        <v>0</v>
      </c>
      <c r="AG15" s="3" t="s">
        <v>256</v>
      </c>
      <c r="AH15" s="3" t="s">
        <v>257</v>
      </c>
      <c r="AI15" s="3"/>
      <c r="AJ15" s="4"/>
      <c r="AK15" s="4">
        <v>2</v>
      </c>
      <c r="AL15" s="4">
        <v>19</v>
      </c>
      <c r="AM15" s="3"/>
      <c r="AN15" s="7"/>
      <c r="AO15" s="7"/>
      <c r="AP15" s="6"/>
      <c r="AQ15" s="6"/>
      <c r="AR15" s="6">
        <f t="shared" ref="AR15:AR16" si="13">AK15/AL15</f>
        <v>0.10526315789473684</v>
      </c>
      <c r="AS15" s="3" t="s">
        <v>258</v>
      </c>
      <c r="AT15" s="3" t="s">
        <v>259</v>
      </c>
      <c r="AU15" s="3"/>
      <c r="AV15" s="3"/>
      <c r="AW15" s="3">
        <v>2</v>
      </c>
      <c r="AX15" s="3">
        <v>19</v>
      </c>
      <c r="AY15" s="3"/>
      <c r="AZ15" s="3"/>
      <c r="BA15" s="3"/>
      <c r="BB15" s="3"/>
      <c r="BC15" s="3"/>
      <c r="BD15" s="9">
        <f t="shared" ref="BD15:BD16" si="14">AW15/AX15</f>
        <v>0.10526315789473684</v>
      </c>
      <c r="BE15" s="3" t="s">
        <v>260</v>
      </c>
      <c r="BF15" s="3" t="s">
        <v>261</v>
      </c>
      <c r="BG15" s="3"/>
      <c r="BH15" s="3"/>
      <c r="BI15" s="10">
        <v>2</v>
      </c>
      <c r="BJ15" s="10">
        <v>19</v>
      </c>
      <c r="BK15" s="3"/>
      <c r="BL15" s="3"/>
      <c r="BM15" s="3"/>
      <c r="BN15" s="3"/>
      <c r="BO15" s="3"/>
      <c r="BP15" s="6">
        <f t="shared" ref="BP15:BP16" si="15">BI15/BJ15</f>
        <v>0.10526315789473684</v>
      </c>
      <c r="BQ15" s="10" t="s">
        <v>262</v>
      </c>
      <c r="BR15" s="10" t="s">
        <v>263</v>
      </c>
      <c r="BS15" s="10" t="s">
        <v>130</v>
      </c>
      <c r="BT15" s="3"/>
    </row>
    <row r="16" spans="1:72" ht="116.25" customHeight="1" x14ac:dyDescent="0.25">
      <c r="A16" s="3">
        <v>15</v>
      </c>
      <c r="B16" s="4" t="s">
        <v>72</v>
      </c>
      <c r="C16" s="4" t="s">
        <v>73</v>
      </c>
      <c r="D16" s="4" t="s">
        <v>264</v>
      </c>
      <c r="E16" s="4" t="s">
        <v>74</v>
      </c>
      <c r="F16" s="4" t="s">
        <v>265</v>
      </c>
      <c r="G16" s="4" t="s">
        <v>266</v>
      </c>
      <c r="H16" s="4" t="s">
        <v>267</v>
      </c>
      <c r="I16" s="4" t="s">
        <v>268</v>
      </c>
      <c r="J16" s="4" t="s">
        <v>269</v>
      </c>
      <c r="K16" s="4" t="s">
        <v>121</v>
      </c>
      <c r="L16" s="4" t="s">
        <v>270</v>
      </c>
      <c r="M16" s="4" t="s">
        <v>271</v>
      </c>
      <c r="N16" s="4"/>
      <c r="O16" s="4"/>
      <c r="P16" s="4"/>
      <c r="Q16" s="4"/>
      <c r="R16" s="4"/>
      <c r="S16" s="4" t="s">
        <v>83</v>
      </c>
      <c r="T16" s="4" t="s">
        <v>105</v>
      </c>
      <c r="U16" s="4" t="s">
        <v>272</v>
      </c>
      <c r="V16" s="5">
        <v>480</v>
      </c>
      <c r="W16" s="4">
        <v>380</v>
      </c>
      <c r="X16" s="4" t="s">
        <v>86</v>
      </c>
      <c r="Y16" s="4">
        <v>46</v>
      </c>
      <c r="Z16" s="12">
        <v>380</v>
      </c>
      <c r="AA16" s="3"/>
      <c r="AB16" s="7"/>
      <c r="AC16" s="7"/>
      <c r="AD16" s="6"/>
      <c r="AE16" s="6"/>
      <c r="AF16" s="6">
        <f t="shared" si="12"/>
        <v>0.12105263157894737</v>
      </c>
      <c r="AG16" s="3" t="s">
        <v>273</v>
      </c>
      <c r="AH16" s="3" t="s">
        <v>274</v>
      </c>
      <c r="AI16" s="3"/>
      <c r="AJ16" s="3"/>
      <c r="AK16" s="3">
        <v>24</v>
      </c>
      <c r="AL16" s="3">
        <v>380</v>
      </c>
      <c r="AM16" s="3"/>
      <c r="AN16" s="3"/>
      <c r="AO16" s="3"/>
      <c r="AP16" s="3"/>
      <c r="AQ16" s="3"/>
      <c r="AR16" s="6">
        <f t="shared" si="13"/>
        <v>6.3157894736842107E-2</v>
      </c>
      <c r="AS16" s="3" t="s">
        <v>275</v>
      </c>
      <c r="AT16" s="3" t="s">
        <v>276</v>
      </c>
      <c r="AU16" s="3"/>
      <c r="AV16" s="3"/>
      <c r="AW16" s="3">
        <v>86</v>
      </c>
      <c r="AX16" s="3">
        <v>380</v>
      </c>
      <c r="AY16" s="3"/>
      <c r="AZ16" s="3"/>
      <c r="BA16" s="3"/>
      <c r="BB16" s="3"/>
      <c r="BC16" s="3"/>
      <c r="BD16" s="9">
        <f t="shared" si="14"/>
        <v>0.22631578947368422</v>
      </c>
      <c r="BE16" s="3" t="s">
        <v>277</v>
      </c>
      <c r="BF16" s="3" t="s">
        <v>278</v>
      </c>
      <c r="BG16" s="3"/>
      <c r="BH16" s="3"/>
      <c r="BI16" s="10">
        <v>37</v>
      </c>
      <c r="BJ16" s="10">
        <v>380</v>
      </c>
      <c r="BK16" s="3"/>
      <c r="BL16" s="3"/>
      <c r="BM16" s="3"/>
      <c r="BN16" s="3"/>
      <c r="BO16" s="3"/>
      <c r="BP16" s="6">
        <f t="shared" si="15"/>
        <v>9.7368421052631576E-2</v>
      </c>
      <c r="BQ16" s="10" t="s">
        <v>279</v>
      </c>
      <c r="BR16" s="10" t="s">
        <v>280</v>
      </c>
      <c r="BS16" s="10" t="s">
        <v>130</v>
      </c>
      <c r="BT16" s="3"/>
    </row>
    <row r="17" spans="1:72" ht="105.75" customHeight="1" x14ac:dyDescent="0.25">
      <c r="A17" s="3">
        <v>16</v>
      </c>
      <c r="B17" s="4" t="s">
        <v>72</v>
      </c>
      <c r="C17" s="4" t="s">
        <v>162</v>
      </c>
      <c r="D17" s="4" t="s">
        <v>281</v>
      </c>
      <c r="E17" s="4" t="s">
        <v>282</v>
      </c>
      <c r="F17" s="4" t="s">
        <v>283</v>
      </c>
      <c r="G17" s="4" t="s">
        <v>284</v>
      </c>
      <c r="H17" s="4" t="s">
        <v>285</v>
      </c>
      <c r="I17" s="4" t="s">
        <v>286</v>
      </c>
      <c r="J17" s="4" t="s">
        <v>287</v>
      </c>
      <c r="K17" s="4" t="s">
        <v>288</v>
      </c>
      <c r="L17" s="4" t="s">
        <v>289</v>
      </c>
      <c r="M17" s="4" t="s">
        <v>290</v>
      </c>
      <c r="N17" s="4" t="s">
        <v>291</v>
      </c>
      <c r="O17" s="4"/>
      <c r="P17" s="4"/>
      <c r="Q17" s="4"/>
      <c r="R17" s="4"/>
      <c r="S17" s="4" t="s">
        <v>83</v>
      </c>
      <c r="T17" s="4" t="s">
        <v>105</v>
      </c>
      <c r="U17" s="4" t="s">
        <v>292</v>
      </c>
      <c r="V17" s="5">
        <v>456</v>
      </c>
      <c r="W17" s="4">
        <v>380</v>
      </c>
      <c r="X17" s="4" t="s">
        <v>86</v>
      </c>
      <c r="Y17" s="13">
        <v>3</v>
      </c>
      <c r="Z17" s="12">
        <v>12</v>
      </c>
      <c r="AA17" s="4">
        <v>14</v>
      </c>
      <c r="AB17" s="4"/>
      <c r="AC17" s="7"/>
      <c r="AD17" s="6"/>
      <c r="AE17" s="6"/>
      <c r="AF17" s="6">
        <f>SUM(Y17:AA17)</f>
        <v>29</v>
      </c>
      <c r="AG17" s="3" t="s">
        <v>293</v>
      </c>
      <c r="AH17" s="3" t="s">
        <v>294</v>
      </c>
      <c r="AI17" s="3"/>
      <c r="AJ17" s="3"/>
      <c r="AK17" s="3">
        <v>16</v>
      </c>
      <c r="AL17" s="3">
        <v>15</v>
      </c>
      <c r="AM17" s="3">
        <v>9</v>
      </c>
      <c r="AN17" s="3"/>
      <c r="AO17" s="3"/>
      <c r="AP17" s="3"/>
      <c r="AQ17" s="3"/>
      <c r="AR17" s="6">
        <f>SUM(AK17:AM17)</f>
        <v>40</v>
      </c>
      <c r="AS17" s="3" t="s">
        <v>295</v>
      </c>
      <c r="AT17" s="3" t="s">
        <v>296</v>
      </c>
      <c r="AU17" s="3"/>
      <c r="AV17" s="3"/>
      <c r="AW17" s="3">
        <v>13</v>
      </c>
      <c r="AX17" s="3">
        <v>11</v>
      </c>
      <c r="AY17" s="3">
        <v>1</v>
      </c>
      <c r="AZ17" s="3"/>
      <c r="BA17" s="3"/>
      <c r="BB17" s="3"/>
      <c r="BC17" s="3"/>
      <c r="BD17" s="9">
        <f>SUM(AW17:AY17)</f>
        <v>25</v>
      </c>
      <c r="BE17" s="3" t="s">
        <v>297</v>
      </c>
      <c r="BF17" s="3" t="s">
        <v>298</v>
      </c>
      <c r="BG17" s="3"/>
      <c r="BH17" s="3"/>
      <c r="BI17" s="10">
        <v>12</v>
      </c>
      <c r="BJ17" s="10">
        <v>13</v>
      </c>
      <c r="BK17" s="10">
        <v>11</v>
      </c>
      <c r="BL17" s="3"/>
      <c r="BM17" s="3"/>
      <c r="BN17" s="3"/>
      <c r="BO17" s="3"/>
      <c r="BP17" s="6">
        <f>SUM(BI17:BK17)</f>
        <v>36</v>
      </c>
      <c r="BQ17" s="10" t="s">
        <v>299</v>
      </c>
      <c r="BR17" s="10" t="s">
        <v>300</v>
      </c>
      <c r="BS17" s="10" t="s">
        <v>301</v>
      </c>
      <c r="BT17" s="3"/>
    </row>
    <row r="18" spans="1:72" ht="113.25" customHeight="1" x14ac:dyDescent="0.25">
      <c r="A18" s="3">
        <v>17</v>
      </c>
      <c r="B18" s="4" t="s">
        <v>72</v>
      </c>
      <c r="C18" s="4" t="s">
        <v>162</v>
      </c>
      <c r="D18" s="4" t="s">
        <v>302</v>
      </c>
      <c r="E18" s="4" t="s">
        <v>282</v>
      </c>
      <c r="F18" s="4" t="s">
        <v>283</v>
      </c>
      <c r="G18" s="4" t="s">
        <v>303</v>
      </c>
      <c r="H18" s="4" t="s">
        <v>304</v>
      </c>
      <c r="I18" s="4" t="s">
        <v>305</v>
      </c>
      <c r="J18" s="4" t="s">
        <v>306</v>
      </c>
      <c r="K18" s="4" t="s">
        <v>307</v>
      </c>
      <c r="L18" s="4" t="s">
        <v>308</v>
      </c>
      <c r="M18" s="4" t="s">
        <v>309</v>
      </c>
      <c r="N18" s="4"/>
      <c r="O18" s="4"/>
      <c r="P18" s="4"/>
      <c r="Q18" s="4"/>
      <c r="R18" s="4"/>
      <c r="S18" s="4" t="s">
        <v>310</v>
      </c>
      <c r="T18" s="4" t="s">
        <v>84</v>
      </c>
      <c r="U18" s="4" t="s">
        <v>311</v>
      </c>
      <c r="V18" s="5">
        <v>606</v>
      </c>
      <c r="W18" s="4">
        <v>250</v>
      </c>
      <c r="X18" s="4" t="s">
        <v>219</v>
      </c>
      <c r="Y18" s="4">
        <v>5</v>
      </c>
      <c r="Z18" s="6">
        <v>250</v>
      </c>
      <c r="AA18" s="3"/>
      <c r="AB18" s="7"/>
      <c r="AC18" s="7"/>
      <c r="AD18" s="6"/>
      <c r="AE18" s="6"/>
      <c r="AF18" s="6">
        <f t="shared" ref="AF18:AF20" si="16">Y18/Z18</f>
        <v>0.02</v>
      </c>
      <c r="AG18" s="3" t="s">
        <v>312</v>
      </c>
      <c r="AH18" s="3" t="s">
        <v>313</v>
      </c>
      <c r="AI18" s="3"/>
      <c r="AJ18" s="3"/>
      <c r="AK18" s="3">
        <v>23</v>
      </c>
      <c r="AL18" s="3">
        <v>250</v>
      </c>
      <c r="AM18" s="3"/>
      <c r="AN18" s="3"/>
      <c r="AO18" s="3"/>
      <c r="AP18" s="3"/>
      <c r="AQ18" s="3"/>
      <c r="AR18" s="6">
        <f t="shared" ref="AR18:AR20" si="17">AK18/AL18</f>
        <v>9.1999999999999998E-2</v>
      </c>
      <c r="AS18" s="3" t="s">
        <v>314</v>
      </c>
      <c r="AT18" s="3" t="s">
        <v>315</v>
      </c>
      <c r="AU18" s="3" t="s">
        <v>316</v>
      </c>
      <c r="AV18" s="3"/>
      <c r="AW18" s="3">
        <v>56</v>
      </c>
      <c r="AX18" s="3">
        <v>250</v>
      </c>
      <c r="AY18" s="3"/>
      <c r="AZ18" s="3"/>
      <c r="BA18" s="3"/>
      <c r="BB18" s="3"/>
      <c r="BC18" s="3"/>
      <c r="BD18" s="9">
        <f t="shared" ref="BD18:BD20" si="18">AW18/AX18</f>
        <v>0.224</v>
      </c>
      <c r="BE18" s="3" t="s">
        <v>317</v>
      </c>
      <c r="BF18" s="3" t="s">
        <v>315</v>
      </c>
      <c r="BG18" s="3"/>
      <c r="BH18" s="3"/>
      <c r="BI18" s="10">
        <v>37</v>
      </c>
      <c r="BJ18" s="10">
        <v>250</v>
      </c>
      <c r="BK18" s="3"/>
      <c r="BL18" s="3"/>
      <c r="BM18" s="3"/>
      <c r="BN18" s="3"/>
      <c r="BO18" s="3"/>
      <c r="BP18" s="6">
        <f t="shared" ref="BP18:BP20" si="19">BI18/BJ18</f>
        <v>0.14799999999999999</v>
      </c>
      <c r="BQ18" s="10" t="s">
        <v>318</v>
      </c>
      <c r="BR18" s="10" t="s">
        <v>315</v>
      </c>
      <c r="BS18" s="10" t="s">
        <v>319</v>
      </c>
      <c r="BT18" s="3"/>
    </row>
    <row r="19" spans="1:72" ht="133.5" customHeight="1" x14ac:dyDescent="0.25">
      <c r="A19" s="3">
        <v>18</v>
      </c>
      <c r="B19" s="4" t="s">
        <v>72</v>
      </c>
      <c r="C19" s="4" t="s">
        <v>162</v>
      </c>
      <c r="D19" s="4" t="s">
        <v>281</v>
      </c>
      <c r="E19" s="4" t="s">
        <v>282</v>
      </c>
      <c r="F19" s="4" t="s">
        <v>283</v>
      </c>
      <c r="G19" s="4" t="s">
        <v>320</v>
      </c>
      <c r="H19" s="4" t="s">
        <v>321</v>
      </c>
      <c r="I19" s="4" t="s">
        <v>322</v>
      </c>
      <c r="J19" s="4" t="s">
        <v>323</v>
      </c>
      <c r="K19" s="4" t="s">
        <v>324</v>
      </c>
      <c r="L19" s="4" t="s">
        <v>325</v>
      </c>
      <c r="M19" s="4" t="s">
        <v>326</v>
      </c>
      <c r="N19" s="4"/>
      <c r="O19" s="4"/>
      <c r="P19" s="4"/>
      <c r="Q19" s="4"/>
      <c r="R19" s="4"/>
      <c r="S19" s="4" t="s">
        <v>83</v>
      </c>
      <c r="T19" s="4" t="s">
        <v>105</v>
      </c>
      <c r="U19" s="4" t="s">
        <v>327</v>
      </c>
      <c r="V19" s="5">
        <v>853</v>
      </c>
      <c r="W19" s="4">
        <v>1490</v>
      </c>
      <c r="X19" s="4" t="s">
        <v>86</v>
      </c>
      <c r="Y19" s="4">
        <v>185</v>
      </c>
      <c r="Z19" s="12">
        <v>1109</v>
      </c>
      <c r="AA19" s="3"/>
      <c r="AB19" s="7"/>
      <c r="AC19" s="7"/>
      <c r="AD19" s="6"/>
      <c r="AE19" s="6"/>
      <c r="AF19" s="6">
        <f t="shared" si="16"/>
        <v>0.16681695220919748</v>
      </c>
      <c r="AG19" s="3" t="s">
        <v>328</v>
      </c>
      <c r="AH19" s="3" t="s">
        <v>329</v>
      </c>
      <c r="AI19" s="3"/>
      <c r="AJ19" s="4"/>
      <c r="AK19" s="4">
        <v>130</v>
      </c>
      <c r="AL19" s="13">
        <v>1109</v>
      </c>
      <c r="AM19" s="3"/>
      <c r="AN19" s="7"/>
      <c r="AO19" s="7"/>
      <c r="AP19" s="6"/>
      <c r="AQ19" s="6"/>
      <c r="AR19" s="6">
        <f t="shared" si="17"/>
        <v>0.11722272317403065</v>
      </c>
      <c r="AS19" s="3" t="s">
        <v>330</v>
      </c>
      <c r="AT19" s="3" t="s">
        <v>296</v>
      </c>
      <c r="AU19" s="3"/>
      <c r="AV19" s="3"/>
      <c r="AW19" s="3">
        <v>135</v>
      </c>
      <c r="AX19" s="10">
        <v>1109</v>
      </c>
      <c r="AY19" s="3"/>
      <c r="AZ19" s="3"/>
      <c r="BA19" s="3"/>
      <c r="BB19" s="3"/>
      <c r="BC19" s="3"/>
      <c r="BD19" s="9">
        <f t="shared" si="18"/>
        <v>0.12173128944995491</v>
      </c>
      <c r="BE19" s="3" t="s">
        <v>331</v>
      </c>
      <c r="BF19" s="3" t="s">
        <v>296</v>
      </c>
      <c r="BG19" s="3"/>
      <c r="BH19" s="3"/>
      <c r="BI19" s="10">
        <v>106</v>
      </c>
      <c r="BJ19" s="10">
        <v>1109</v>
      </c>
      <c r="BK19" s="3"/>
      <c r="BL19" s="3"/>
      <c r="BM19" s="3"/>
      <c r="BN19" s="3"/>
      <c r="BO19" s="3"/>
      <c r="BP19" s="6">
        <f t="shared" si="19"/>
        <v>9.5581605049594232E-2</v>
      </c>
      <c r="BQ19" s="10" t="s">
        <v>332</v>
      </c>
      <c r="BR19" s="10" t="s">
        <v>300</v>
      </c>
      <c r="BS19" s="10" t="s">
        <v>333</v>
      </c>
      <c r="BT19" s="3"/>
    </row>
    <row r="20" spans="1:72" ht="111" customHeight="1" x14ac:dyDescent="0.25">
      <c r="A20" s="3">
        <v>19</v>
      </c>
      <c r="B20" s="4" t="s">
        <v>72</v>
      </c>
      <c r="C20" s="4" t="s">
        <v>162</v>
      </c>
      <c r="D20" s="4" t="s">
        <v>210</v>
      </c>
      <c r="E20" s="4" t="s">
        <v>334</v>
      </c>
      <c r="F20" s="4" t="s">
        <v>335</v>
      </c>
      <c r="G20" s="4" t="s">
        <v>336</v>
      </c>
      <c r="H20" s="4" t="s">
        <v>337</v>
      </c>
      <c r="I20" s="4" t="s">
        <v>338</v>
      </c>
      <c r="J20" s="4" t="s">
        <v>339</v>
      </c>
      <c r="K20" s="4" t="s">
        <v>340</v>
      </c>
      <c r="L20" s="4" t="s">
        <v>341</v>
      </c>
      <c r="M20" s="4" t="s">
        <v>342</v>
      </c>
      <c r="N20" s="4"/>
      <c r="O20" s="4"/>
      <c r="P20" s="4"/>
      <c r="Q20" s="4"/>
      <c r="R20" s="4"/>
      <c r="S20" s="4" t="s">
        <v>83</v>
      </c>
      <c r="T20" s="4" t="s">
        <v>105</v>
      </c>
      <c r="U20" s="4" t="s">
        <v>343</v>
      </c>
      <c r="V20" s="5">
        <v>253</v>
      </c>
      <c r="W20" s="4">
        <v>150</v>
      </c>
      <c r="X20" s="4" t="s">
        <v>219</v>
      </c>
      <c r="Y20" s="4">
        <v>12</v>
      </c>
      <c r="Z20" s="12">
        <v>150</v>
      </c>
      <c r="AA20" s="3"/>
      <c r="AB20" s="7"/>
      <c r="AC20" s="7"/>
      <c r="AD20" s="6"/>
      <c r="AE20" s="6"/>
      <c r="AF20" s="6">
        <f t="shared" si="16"/>
        <v>0.08</v>
      </c>
      <c r="AG20" s="3" t="s">
        <v>344</v>
      </c>
      <c r="AH20" s="3" t="s">
        <v>345</v>
      </c>
      <c r="AI20" s="3"/>
      <c r="AJ20" s="3"/>
      <c r="AK20" s="3">
        <v>11</v>
      </c>
      <c r="AL20" s="10">
        <v>150</v>
      </c>
      <c r="AM20" s="3"/>
      <c r="AN20" s="3"/>
      <c r="AO20" s="3"/>
      <c r="AP20" s="3"/>
      <c r="AQ20" s="3"/>
      <c r="AR20" s="6">
        <f t="shared" si="17"/>
        <v>7.3333333333333334E-2</v>
      </c>
      <c r="AS20" s="3" t="s">
        <v>346</v>
      </c>
      <c r="AT20" s="3" t="s">
        <v>345</v>
      </c>
      <c r="AU20" s="3"/>
      <c r="AV20" s="3"/>
      <c r="AW20" s="3">
        <v>23</v>
      </c>
      <c r="AX20" s="10">
        <v>150</v>
      </c>
      <c r="AY20" s="3"/>
      <c r="AZ20" s="3"/>
      <c r="BA20" s="3"/>
      <c r="BB20" s="3"/>
      <c r="BC20" s="3"/>
      <c r="BD20" s="9">
        <f t="shared" si="18"/>
        <v>0.15333333333333332</v>
      </c>
      <c r="BE20" s="3" t="s">
        <v>347</v>
      </c>
      <c r="BF20" s="3" t="s">
        <v>345</v>
      </c>
      <c r="BG20" s="3"/>
      <c r="BH20" s="3"/>
      <c r="BI20" s="10">
        <v>23</v>
      </c>
      <c r="BJ20" s="10">
        <v>150</v>
      </c>
      <c r="BK20" s="3"/>
      <c r="BL20" s="3"/>
      <c r="BM20" s="3"/>
      <c r="BN20" s="3"/>
      <c r="BO20" s="3"/>
      <c r="BP20" s="6">
        <f t="shared" si="19"/>
        <v>0.15333333333333332</v>
      </c>
      <c r="BQ20" s="10" t="s">
        <v>348</v>
      </c>
      <c r="BR20" s="10" t="s">
        <v>345</v>
      </c>
      <c r="BS20" s="10" t="s">
        <v>349</v>
      </c>
      <c r="BT20" s="3"/>
    </row>
    <row r="21" spans="1:72" ht="71.25" customHeight="1" x14ac:dyDescent="0.25">
      <c r="A21" s="3">
        <v>20</v>
      </c>
      <c r="B21" s="4" t="s">
        <v>350</v>
      </c>
      <c r="C21" s="4"/>
      <c r="D21" s="4" t="s">
        <v>351</v>
      </c>
      <c r="E21" s="4" t="s">
        <v>352</v>
      </c>
      <c r="F21" s="4"/>
      <c r="G21" s="4" t="s">
        <v>353</v>
      </c>
      <c r="H21" s="4" t="s">
        <v>354</v>
      </c>
      <c r="I21" s="4" t="s">
        <v>355</v>
      </c>
      <c r="J21" s="4"/>
      <c r="K21" s="4" t="s">
        <v>356</v>
      </c>
      <c r="L21" s="4" t="s">
        <v>357</v>
      </c>
      <c r="M21" s="4"/>
      <c r="N21" s="4"/>
      <c r="O21" s="4"/>
      <c r="P21" s="4"/>
      <c r="Q21" s="4"/>
      <c r="R21" s="4"/>
      <c r="S21" s="4" t="s">
        <v>83</v>
      </c>
      <c r="T21" s="4" t="s">
        <v>105</v>
      </c>
      <c r="U21" s="4"/>
      <c r="V21" s="14"/>
      <c r="W21" s="15"/>
      <c r="X21" s="4" t="s">
        <v>140</v>
      </c>
      <c r="Y21" s="4"/>
      <c r="Z21" s="6"/>
      <c r="AA21" s="3"/>
      <c r="AB21" s="7"/>
      <c r="AC21" s="7"/>
      <c r="AD21" s="6"/>
      <c r="AE21" s="6"/>
      <c r="AF21" s="6"/>
      <c r="AG21" s="3"/>
      <c r="AH21" s="3"/>
      <c r="AI21" s="3"/>
      <c r="AJ21" s="3"/>
      <c r="AK21" s="3"/>
      <c r="AL21" s="3"/>
      <c r="AM21" s="3"/>
      <c r="AN21" s="3"/>
      <c r="AO21" s="3"/>
      <c r="AP21" s="3"/>
      <c r="AQ21" s="3"/>
      <c r="AR21" s="3"/>
      <c r="AS21" s="3"/>
      <c r="AT21" s="3"/>
      <c r="AU21" s="3"/>
      <c r="AV21" s="3"/>
      <c r="AW21" s="3"/>
      <c r="AX21" s="3"/>
      <c r="AY21" s="3"/>
      <c r="AZ21" s="3"/>
      <c r="BA21" s="3"/>
      <c r="BB21" s="3"/>
      <c r="BC21" s="3"/>
      <c r="BD21" s="9"/>
      <c r="BE21" s="3"/>
      <c r="BF21" s="3"/>
      <c r="BG21" s="3"/>
      <c r="BH21" s="3"/>
      <c r="BI21" s="3"/>
      <c r="BJ21" s="3"/>
      <c r="BK21" s="3"/>
      <c r="BL21" s="3"/>
      <c r="BM21" s="3"/>
      <c r="BN21" s="3"/>
      <c r="BO21" s="3"/>
      <c r="BP21" s="6"/>
      <c r="BQ21" s="3"/>
      <c r="BR21" s="3"/>
      <c r="BS21" s="3"/>
      <c r="BT21" s="3"/>
    </row>
    <row r="22" spans="1:72" ht="22.5" customHeight="1" x14ac:dyDescent="0.25">
      <c r="A22" s="3">
        <v>21</v>
      </c>
      <c r="B22" s="4" t="s">
        <v>350</v>
      </c>
      <c r="C22" s="4"/>
      <c r="D22" s="4" t="s">
        <v>358</v>
      </c>
      <c r="E22" s="4" t="s">
        <v>359</v>
      </c>
      <c r="F22" s="4"/>
      <c r="G22" s="4" t="s">
        <v>360</v>
      </c>
      <c r="H22" s="4" t="s">
        <v>358</v>
      </c>
      <c r="I22" s="4" t="s">
        <v>361</v>
      </c>
      <c r="J22" s="4"/>
      <c r="K22" s="4" t="s">
        <v>362</v>
      </c>
      <c r="L22" s="4" t="s">
        <v>363</v>
      </c>
      <c r="M22" s="4" t="s">
        <v>364</v>
      </c>
      <c r="N22" s="4"/>
      <c r="O22" s="4"/>
      <c r="P22" s="4"/>
      <c r="Q22" s="4"/>
      <c r="R22" s="4"/>
      <c r="S22" s="4" t="s">
        <v>139</v>
      </c>
      <c r="T22" s="4" t="s">
        <v>84</v>
      </c>
      <c r="U22" s="4"/>
      <c r="V22" s="5"/>
      <c r="W22" s="4"/>
      <c r="X22" s="4" t="s">
        <v>140</v>
      </c>
      <c r="Y22" s="4"/>
      <c r="Z22" s="6"/>
      <c r="AA22" s="3"/>
      <c r="AB22" s="7"/>
      <c r="AC22" s="7"/>
      <c r="AD22" s="6"/>
      <c r="AE22" s="6"/>
      <c r="AF22" s="6"/>
      <c r="AG22" s="3"/>
      <c r="AH22" s="3"/>
      <c r="AI22" s="3"/>
      <c r="AJ22" s="3"/>
      <c r="AK22" s="3"/>
      <c r="AL22" s="3"/>
      <c r="AM22" s="3"/>
      <c r="AN22" s="3"/>
      <c r="AO22" s="3"/>
      <c r="AP22" s="3"/>
      <c r="AQ22" s="3"/>
      <c r="AR22" s="3"/>
      <c r="AS22" s="3"/>
      <c r="AT22" s="3"/>
      <c r="AU22" s="3"/>
      <c r="AV22" s="3"/>
      <c r="AW22" s="3"/>
      <c r="AX22" s="3"/>
      <c r="AY22" s="3"/>
      <c r="AZ22" s="3"/>
      <c r="BA22" s="3"/>
      <c r="BB22" s="3"/>
      <c r="BC22" s="3"/>
      <c r="BD22" s="9"/>
      <c r="BE22" s="3"/>
      <c r="BF22" s="3"/>
      <c r="BG22" s="3"/>
      <c r="BH22" s="3"/>
      <c r="BI22" s="3"/>
      <c r="BJ22" s="3"/>
      <c r="BK22" s="3"/>
      <c r="BL22" s="3"/>
      <c r="BM22" s="3"/>
      <c r="BN22" s="3"/>
      <c r="BO22" s="3"/>
      <c r="BP22" s="6"/>
      <c r="BQ22" s="3"/>
      <c r="BR22" s="3"/>
      <c r="BS22" s="3"/>
      <c r="BT22" s="3"/>
    </row>
    <row r="23" spans="1:72" ht="22.5" customHeight="1" x14ac:dyDescent="0.25">
      <c r="A23" s="3">
        <v>22</v>
      </c>
      <c r="B23" s="4" t="s">
        <v>350</v>
      </c>
      <c r="C23" s="4"/>
      <c r="D23" s="4" t="s">
        <v>243</v>
      </c>
      <c r="E23" s="4"/>
      <c r="F23" s="4"/>
      <c r="G23" s="4" t="s">
        <v>365</v>
      </c>
      <c r="H23" s="4" t="s">
        <v>366</v>
      </c>
      <c r="I23" s="4" t="s">
        <v>367</v>
      </c>
      <c r="J23" s="4"/>
      <c r="K23" s="4" t="s">
        <v>368</v>
      </c>
      <c r="L23" s="4" t="s">
        <v>369</v>
      </c>
      <c r="M23" s="4" t="s">
        <v>370</v>
      </c>
      <c r="N23" s="4"/>
      <c r="O23" s="4"/>
      <c r="P23" s="4"/>
      <c r="Q23" s="4"/>
      <c r="R23" s="4"/>
      <c r="S23" s="4" t="s">
        <v>139</v>
      </c>
      <c r="T23" s="4" t="s">
        <v>84</v>
      </c>
      <c r="U23" s="4"/>
      <c r="V23" s="5"/>
      <c r="W23" s="4"/>
      <c r="X23" s="4" t="s">
        <v>140</v>
      </c>
      <c r="Y23" s="4"/>
      <c r="Z23" s="6"/>
      <c r="AA23" s="3"/>
      <c r="AB23" s="7"/>
      <c r="AC23" s="7"/>
      <c r="AD23" s="6"/>
      <c r="AE23" s="6"/>
      <c r="AF23" s="6"/>
      <c r="AG23" s="3"/>
      <c r="AH23" s="3"/>
      <c r="AI23" s="3"/>
      <c r="AJ23" s="3"/>
      <c r="AK23" s="3"/>
      <c r="AL23" s="3"/>
      <c r="AM23" s="3"/>
      <c r="AN23" s="3"/>
      <c r="AO23" s="3"/>
      <c r="AP23" s="3"/>
      <c r="AQ23" s="3"/>
      <c r="AR23" s="3"/>
      <c r="AS23" s="3"/>
      <c r="AT23" s="3"/>
      <c r="AU23" s="3"/>
      <c r="AV23" s="3"/>
      <c r="AW23" s="3"/>
      <c r="AX23" s="3"/>
      <c r="AY23" s="3"/>
      <c r="AZ23" s="3"/>
      <c r="BA23" s="3"/>
      <c r="BB23" s="3"/>
      <c r="BC23" s="3"/>
      <c r="BD23" s="9"/>
      <c r="BE23" s="3"/>
      <c r="BF23" s="3"/>
      <c r="BG23" s="3"/>
      <c r="BH23" s="3"/>
      <c r="BI23" s="3"/>
      <c r="BJ23" s="3"/>
      <c r="BK23" s="3"/>
      <c r="BL23" s="3"/>
      <c r="BM23" s="3"/>
      <c r="BN23" s="3"/>
      <c r="BO23" s="3"/>
      <c r="BP23" s="6"/>
      <c r="BQ23" s="3"/>
      <c r="BR23" s="3"/>
      <c r="BS23" s="3"/>
      <c r="BT23" s="3"/>
    </row>
    <row r="24" spans="1:72" ht="22.5" customHeight="1" x14ac:dyDescent="0.25">
      <c r="A24" s="3">
        <v>23</v>
      </c>
      <c r="B24" s="4" t="s">
        <v>350</v>
      </c>
      <c r="C24" s="4" t="s">
        <v>145</v>
      </c>
      <c r="D24" s="4" t="s">
        <v>145</v>
      </c>
      <c r="E24" s="4" t="s">
        <v>359</v>
      </c>
      <c r="F24" s="4"/>
      <c r="G24" s="4" t="s">
        <v>371</v>
      </c>
      <c r="H24" s="4" t="s">
        <v>372</v>
      </c>
      <c r="I24" s="4" t="s">
        <v>373</v>
      </c>
      <c r="J24" s="4"/>
      <c r="K24" s="4" t="s">
        <v>374</v>
      </c>
      <c r="L24" s="4" t="s">
        <v>375</v>
      </c>
      <c r="M24" s="4" t="s">
        <v>376</v>
      </c>
      <c r="N24" s="4"/>
      <c r="O24" s="4"/>
      <c r="P24" s="4"/>
      <c r="Q24" s="4"/>
      <c r="R24" s="4"/>
      <c r="S24" s="4" t="s">
        <v>139</v>
      </c>
      <c r="T24" s="4" t="s">
        <v>84</v>
      </c>
      <c r="U24" s="4"/>
      <c r="V24" s="5"/>
      <c r="W24" s="4"/>
      <c r="X24" s="4" t="s">
        <v>140</v>
      </c>
      <c r="Y24" s="4"/>
      <c r="Z24" s="6"/>
      <c r="AA24" s="3"/>
      <c r="AB24" s="7"/>
      <c r="AC24" s="7"/>
      <c r="AD24" s="6"/>
      <c r="AE24" s="6"/>
      <c r="AF24" s="6"/>
      <c r="AG24" s="3"/>
      <c r="AH24" s="3"/>
      <c r="AI24" s="3"/>
      <c r="AJ24" s="3"/>
      <c r="AK24" s="3"/>
      <c r="AL24" s="3"/>
      <c r="AM24" s="3"/>
      <c r="AN24" s="3"/>
      <c r="AO24" s="3"/>
      <c r="AP24" s="3"/>
      <c r="AQ24" s="3"/>
      <c r="AR24" s="3"/>
      <c r="AS24" s="3"/>
      <c r="AT24" s="3"/>
      <c r="AU24" s="3"/>
      <c r="AV24" s="3"/>
      <c r="AW24" s="3"/>
      <c r="AX24" s="3"/>
      <c r="AY24" s="3"/>
      <c r="AZ24" s="3"/>
      <c r="BA24" s="3"/>
      <c r="BB24" s="3"/>
      <c r="BC24" s="3"/>
      <c r="BD24" s="9"/>
      <c r="BE24" s="3"/>
      <c r="BF24" s="3"/>
      <c r="BG24" s="3"/>
      <c r="BH24" s="3"/>
      <c r="BI24" s="3"/>
      <c r="BJ24" s="3"/>
      <c r="BK24" s="3"/>
      <c r="BL24" s="3"/>
      <c r="BM24" s="3"/>
      <c r="BN24" s="3"/>
      <c r="BO24" s="3"/>
      <c r="BP24" s="6"/>
      <c r="BQ24" s="3"/>
      <c r="BR24" s="3"/>
      <c r="BS24" s="3"/>
      <c r="BT24" s="3"/>
    </row>
    <row r="25" spans="1:72" ht="81.75" customHeight="1" x14ac:dyDescent="0.25">
      <c r="A25" s="3">
        <v>24</v>
      </c>
      <c r="B25" s="4" t="s">
        <v>350</v>
      </c>
      <c r="C25" s="4"/>
      <c r="D25" s="4" t="s">
        <v>351</v>
      </c>
      <c r="E25" s="4" t="s">
        <v>352</v>
      </c>
      <c r="F25" s="4"/>
      <c r="G25" s="4" t="s">
        <v>377</v>
      </c>
      <c r="H25" s="4" t="s">
        <v>378</v>
      </c>
      <c r="I25" s="4" t="s">
        <v>379</v>
      </c>
      <c r="J25" s="4"/>
      <c r="K25" s="4" t="s">
        <v>380</v>
      </c>
      <c r="L25" s="4" t="s">
        <v>381</v>
      </c>
      <c r="M25" s="4" t="s">
        <v>382</v>
      </c>
      <c r="N25" s="4"/>
      <c r="O25" s="4"/>
      <c r="P25" s="4"/>
      <c r="Q25" s="4"/>
      <c r="R25" s="4"/>
      <c r="S25" s="4" t="s">
        <v>83</v>
      </c>
      <c r="T25" s="4" t="s">
        <v>84</v>
      </c>
      <c r="U25" s="4"/>
      <c r="V25" s="5"/>
      <c r="W25" s="4"/>
      <c r="X25" s="4" t="s">
        <v>140</v>
      </c>
      <c r="Y25" s="4"/>
      <c r="Z25" s="6"/>
      <c r="AA25" s="3"/>
      <c r="AB25" s="7"/>
      <c r="AC25" s="7"/>
      <c r="AD25" s="6"/>
      <c r="AE25" s="6"/>
      <c r="AF25" s="6"/>
      <c r="AG25" s="3"/>
      <c r="AH25" s="3"/>
      <c r="AI25" s="3"/>
      <c r="AJ25" s="3"/>
      <c r="AK25" s="3"/>
      <c r="AL25" s="3"/>
      <c r="AM25" s="3"/>
      <c r="AN25" s="3"/>
      <c r="AO25" s="3"/>
      <c r="AP25" s="3"/>
      <c r="AQ25" s="3"/>
      <c r="AR25" s="3"/>
      <c r="AS25" s="3"/>
      <c r="AT25" s="3"/>
      <c r="AU25" s="3"/>
      <c r="AV25" s="3"/>
      <c r="AW25" s="3"/>
      <c r="AX25" s="3"/>
      <c r="AY25" s="3"/>
      <c r="AZ25" s="3"/>
      <c r="BA25" s="3"/>
      <c r="BB25" s="3"/>
      <c r="BC25" s="3"/>
      <c r="BD25" s="9"/>
      <c r="BE25" s="3"/>
      <c r="BF25" s="3"/>
      <c r="BG25" s="3"/>
      <c r="BH25" s="3"/>
      <c r="BI25" s="3"/>
      <c r="BJ25" s="3"/>
      <c r="BK25" s="3"/>
      <c r="BL25" s="3"/>
      <c r="BM25" s="3"/>
      <c r="BN25" s="3"/>
      <c r="BO25" s="3"/>
      <c r="BP25" s="6"/>
      <c r="BQ25" s="3"/>
      <c r="BR25" s="3"/>
      <c r="BS25" s="3"/>
      <c r="BT25" s="3"/>
    </row>
    <row r="26" spans="1:72" ht="150" customHeight="1" x14ac:dyDescent="0.25">
      <c r="A26" s="3">
        <v>25</v>
      </c>
      <c r="B26" s="4" t="s">
        <v>72</v>
      </c>
      <c r="C26" s="4" t="s">
        <v>162</v>
      </c>
      <c r="D26" s="4" t="s">
        <v>383</v>
      </c>
      <c r="E26" s="4" t="s">
        <v>282</v>
      </c>
      <c r="F26" s="4" t="s">
        <v>283</v>
      </c>
      <c r="G26" s="4" t="s">
        <v>384</v>
      </c>
      <c r="H26" s="4" t="s">
        <v>385</v>
      </c>
      <c r="I26" s="4" t="s">
        <v>386</v>
      </c>
      <c r="J26" s="4" t="s">
        <v>387</v>
      </c>
      <c r="K26" s="4" t="s">
        <v>388</v>
      </c>
      <c r="L26" s="4" t="s">
        <v>389</v>
      </c>
      <c r="M26" s="4" t="s">
        <v>390</v>
      </c>
      <c r="N26" s="4"/>
      <c r="O26" s="4"/>
      <c r="P26" s="4"/>
      <c r="Q26" s="4"/>
      <c r="R26" s="4"/>
      <c r="S26" s="4" t="s">
        <v>83</v>
      </c>
      <c r="T26" s="4" t="s">
        <v>105</v>
      </c>
      <c r="U26" s="4" t="s">
        <v>391</v>
      </c>
      <c r="V26" s="5">
        <v>6524</v>
      </c>
      <c r="W26" s="4">
        <v>3100</v>
      </c>
      <c r="X26" s="4" t="s">
        <v>86</v>
      </c>
      <c r="Y26" s="4">
        <v>239</v>
      </c>
      <c r="Z26" s="6">
        <v>3100</v>
      </c>
      <c r="AA26" s="3"/>
      <c r="AB26" s="7"/>
      <c r="AC26" s="7"/>
      <c r="AD26" s="6"/>
      <c r="AE26" s="6"/>
      <c r="AF26" s="6">
        <f t="shared" ref="AF26:AF27" si="20">Y26/Z26</f>
        <v>7.7096774193548392E-2</v>
      </c>
      <c r="AG26" s="3" t="s">
        <v>392</v>
      </c>
      <c r="AH26" s="3" t="s">
        <v>393</v>
      </c>
      <c r="AI26" s="3"/>
      <c r="AJ26" s="3"/>
      <c r="AK26" s="3">
        <v>307</v>
      </c>
      <c r="AL26" s="3">
        <v>3100</v>
      </c>
      <c r="AM26" s="3"/>
      <c r="AN26" s="3"/>
      <c r="AO26" s="3"/>
      <c r="AP26" s="3"/>
      <c r="AQ26" s="3"/>
      <c r="AR26" s="6">
        <f t="shared" ref="AR26:AR27" si="21">AK26/AL26</f>
        <v>9.9032258064516127E-2</v>
      </c>
      <c r="AS26" s="3" t="s">
        <v>394</v>
      </c>
      <c r="AT26" s="3" t="s">
        <v>393</v>
      </c>
      <c r="AU26" s="3" t="s">
        <v>316</v>
      </c>
      <c r="AV26" s="3"/>
      <c r="AW26" s="3">
        <v>294</v>
      </c>
      <c r="AX26" s="3">
        <v>3100</v>
      </c>
      <c r="AY26" s="3"/>
      <c r="AZ26" s="3"/>
      <c r="BA26" s="3"/>
      <c r="BB26" s="3"/>
      <c r="BC26" s="3"/>
      <c r="BD26" s="9">
        <f t="shared" ref="BD26:BD27" si="22">AW26/AX26</f>
        <v>9.483870967741935E-2</v>
      </c>
      <c r="BE26" s="3" t="s">
        <v>394</v>
      </c>
      <c r="BF26" s="3" t="s">
        <v>395</v>
      </c>
      <c r="BG26" s="3"/>
      <c r="BH26" s="3"/>
      <c r="BI26" s="10">
        <v>179</v>
      </c>
      <c r="BJ26" s="10">
        <v>3100</v>
      </c>
      <c r="BK26" s="3"/>
      <c r="BL26" s="3"/>
      <c r="BM26" s="3"/>
      <c r="BN26" s="3"/>
      <c r="BO26" s="3"/>
      <c r="BP26" s="6">
        <f t="shared" ref="BP26:BP27" si="23">BI26/BJ26</f>
        <v>5.7741935483870965E-2</v>
      </c>
      <c r="BQ26" s="10" t="s">
        <v>396</v>
      </c>
      <c r="BR26" s="3" t="s">
        <v>397</v>
      </c>
      <c r="BS26" s="10" t="s">
        <v>398</v>
      </c>
      <c r="BT26" s="3"/>
    </row>
    <row r="27" spans="1:72" ht="125.25" customHeight="1" x14ac:dyDescent="0.25">
      <c r="A27" s="3">
        <v>26</v>
      </c>
      <c r="B27" s="4" t="s">
        <v>144</v>
      </c>
      <c r="C27" s="4" t="s">
        <v>73</v>
      </c>
      <c r="D27" s="4" t="s">
        <v>210</v>
      </c>
      <c r="E27" s="4" t="s">
        <v>334</v>
      </c>
      <c r="F27" s="4" t="s">
        <v>335</v>
      </c>
      <c r="G27" s="4" t="s">
        <v>399</v>
      </c>
      <c r="H27" s="4" t="s">
        <v>400</v>
      </c>
      <c r="I27" s="4" t="s">
        <v>401</v>
      </c>
      <c r="J27" s="4" t="s">
        <v>402</v>
      </c>
      <c r="K27" s="4" t="s">
        <v>403</v>
      </c>
      <c r="L27" s="4" t="s">
        <v>404</v>
      </c>
      <c r="M27" s="4" t="s">
        <v>405</v>
      </c>
      <c r="N27" s="4"/>
      <c r="O27" s="4"/>
      <c r="P27" s="4"/>
      <c r="Q27" s="4"/>
      <c r="R27" s="4"/>
      <c r="S27" s="4" t="s">
        <v>406</v>
      </c>
      <c r="T27" s="4" t="s">
        <v>407</v>
      </c>
      <c r="U27" s="4" t="s">
        <v>408</v>
      </c>
      <c r="V27" s="5">
        <v>3052</v>
      </c>
      <c r="W27" s="4">
        <v>2400</v>
      </c>
      <c r="X27" s="4" t="s">
        <v>86</v>
      </c>
      <c r="Y27" s="4">
        <v>243</v>
      </c>
      <c r="Z27" s="6">
        <v>2400</v>
      </c>
      <c r="AA27" s="3"/>
      <c r="AB27" s="7"/>
      <c r="AC27" s="7"/>
      <c r="AD27" s="6"/>
      <c r="AE27" s="6"/>
      <c r="AF27" s="6">
        <f t="shared" si="20"/>
        <v>0.10125000000000001</v>
      </c>
      <c r="AG27" s="3" t="s">
        <v>392</v>
      </c>
      <c r="AH27" s="3" t="s">
        <v>393</v>
      </c>
      <c r="AI27" s="3"/>
      <c r="AJ27" s="3"/>
      <c r="AK27" s="3">
        <v>237</v>
      </c>
      <c r="AL27" s="3">
        <v>2400</v>
      </c>
      <c r="AM27" s="3"/>
      <c r="AN27" s="3"/>
      <c r="AO27" s="3"/>
      <c r="AP27" s="3"/>
      <c r="AQ27" s="3"/>
      <c r="AR27" s="6">
        <f t="shared" si="21"/>
        <v>9.8750000000000004E-2</v>
      </c>
      <c r="AS27" s="3" t="s">
        <v>394</v>
      </c>
      <c r="AT27" s="3" t="s">
        <v>393</v>
      </c>
      <c r="AU27" s="3" t="s">
        <v>316</v>
      </c>
      <c r="AV27" s="3"/>
      <c r="AW27" s="3">
        <v>182</v>
      </c>
      <c r="AX27" s="3">
        <v>2400</v>
      </c>
      <c r="AY27" s="3"/>
      <c r="AZ27" s="3"/>
      <c r="BA27" s="3"/>
      <c r="BB27" s="3"/>
      <c r="BC27" s="3"/>
      <c r="BD27" s="9">
        <f t="shared" si="22"/>
        <v>7.5833333333333336E-2</v>
      </c>
      <c r="BE27" s="3" t="s">
        <v>409</v>
      </c>
      <c r="BF27" s="3" t="s">
        <v>395</v>
      </c>
      <c r="BG27" s="3"/>
      <c r="BH27" s="3"/>
      <c r="BI27" s="10">
        <v>113</v>
      </c>
      <c r="BJ27" s="10">
        <v>2400</v>
      </c>
      <c r="BK27" s="3"/>
      <c r="BL27" s="3"/>
      <c r="BM27" s="3"/>
      <c r="BN27" s="3"/>
      <c r="BO27" s="3"/>
      <c r="BP27" s="6">
        <f t="shared" si="23"/>
        <v>4.7083333333333331E-2</v>
      </c>
      <c r="BQ27" s="10" t="s">
        <v>396</v>
      </c>
      <c r="BR27" s="3" t="s">
        <v>410</v>
      </c>
      <c r="BS27" s="3" t="s">
        <v>398</v>
      </c>
      <c r="BT27" s="3"/>
    </row>
    <row r="28" spans="1:72" ht="22.5" customHeight="1" x14ac:dyDescent="0.25">
      <c r="A28" s="3">
        <v>27</v>
      </c>
      <c r="B28" s="4" t="s">
        <v>144</v>
      </c>
      <c r="C28" s="4" t="s">
        <v>73</v>
      </c>
      <c r="D28" s="4" t="s">
        <v>351</v>
      </c>
      <c r="E28" s="4" t="s">
        <v>411</v>
      </c>
      <c r="F28" s="4"/>
      <c r="G28" s="4" t="s">
        <v>412</v>
      </c>
      <c r="H28" s="4" t="s">
        <v>413</v>
      </c>
      <c r="I28" s="4" t="s">
        <v>414</v>
      </c>
      <c r="J28" s="4"/>
      <c r="K28" s="4" t="s">
        <v>415</v>
      </c>
      <c r="L28" s="4" t="s">
        <v>416</v>
      </c>
      <c r="M28" s="4" t="s">
        <v>417</v>
      </c>
      <c r="N28" s="4"/>
      <c r="O28" s="4"/>
      <c r="P28" s="4"/>
      <c r="Q28" s="4"/>
      <c r="R28" s="4"/>
      <c r="S28" s="4" t="s">
        <v>139</v>
      </c>
      <c r="T28" s="4" t="s">
        <v>84</v>
      </c>
      <c r="U28" s="4"/>
      <c r="V28" s="5"/>
      <c r="W28" s="4"/>
      <c r="X28" s="4" t="s">
        <v>140</v>
      </c>
      <c r="Y28" s="4"/>
      <c r="Z28" s="6"/>
      <c r="AA28" s="3"/>
      <c r="AB28" s="7"/>
      <c r="AC28" s="7"/>
      <c r="AD28" s="6"/>
      <c r="AE28" s="6"/>
      <c r="AF28" s="6"/>
      <c r="AG28" s="3"/>
      <c r="AH28" s="3"/>
      <c r="AI28" s="3"/>
      <c r="AJ28" s="3"/>
      <c r="AK28" s="3"/>
      <c r="AL28" s="3"/>
      <c r="AM28" s="3"/>
      <c r="AN28" s="3"/>
      <c r="AO28" s="3"/>
      <c r="AP28" s="3"/>
      <c r="AQ28" s="3"/>
      <c r="AR28" s="3"/>
      <c r="AS28" s="3"/>
      <c r="AT28" s="3"/>
      <c r="AU28" s="3"/>
      <c r="AV28" s="3"/>
      <c r="AW28" s="3"/>
      <c r="AX28" s="3"/>
      <c r="AY28" s="3"/>
      <c r="AZ28" s="3"/>
      <c r="BA28" s="3"/>
      <c r="BB28" s="3"/>
      <c r="BC28" s="3"/>
      <c r="BD28" s="9"/>
      <c r="BE28" s="3"/>
      <c r="BF28" s="3"/>
      <c r="BG28" s="3"/>
      <c r="BH28" s="3"/>
      <c r="BI28" s="3"/>
      <c r="BJ28" s="3"/>
      <c r="BK28" s="3"/>
      <c r="BL28" s="3"/>
      <c r="BM28" s="3"/>
      <c r="BN28" s="3"/>
      <c r="BO28" s="3"/>
      <c r="BP28" s="6"/>
      <c r="BQ28" s="3"/>
      <c r="BR28" s="3"/>
      <c r="BS28" s="3"/>
      <c r="BT28" s="3"/>
    </row>
    <row r="29" spans="1:72" ht="134.25" customHeight="1" x14ac:dyDescent="0.25">
      <c r="A29" s="3">
        <v>28</v>
      </c>
      <c r="B29" s="4" t="s">
        <v>72</v>
      </c>
      <c r="C29" s="4" t="s">
        <v>162</v>
      </c>
      <c r="D29" s="4" t="s">
        <v>302</v>
      </c>
      <c r="E29" s="4" t="s">
        <v>334</v>
      </c>
      <c r="F29" s="4" t="s">
        <v>335</v>
      </c>
      <c r="G29" s="4" t="s">
        <v>418</v>
      </c>
      <c r="H29" s="4" t="s">
        <v>419</v>
      </c>
      <c r="I29" s="4" t="s">
        <v>420</v>
      </c>
      <c r="J29" s="4" t="s">
        <v>421</v>
      </c>
      <c r="K29" s="4" t="s">
        <v>422</v>
      </c>
      <c r="L29" s="4" t="s">
        <v>423</v>
      </c>
      <c r="M29" s="4" t="s">
        <v>424</v>
      </c>
      <c r="N29" s="4"/>
      <c r="O29" s="4"/>
      <c r="P29" s="4"/>
      <c r="Q29" s="4"/>
      <c r="R29" s="4"/>
      <c r="S29" s="4" t="s">
        <v>83</v>
      </c>
      <c r="T29" s="4" t="s">
        <v>105</v>
      </c>
      <c r="U29" s="4" t="s">
        <v>425</v>
      </c>
      <c r="V29" s="5">
        <v>50</v>
      </c>
      <c r="W29" s="4">
        <v>150</v>
      </c>
      <c r="X29" s="4" t="s">
        <v>219</v>
      </c>
      <c r="Y29" s="13">
        <v>51</v>
      </c>
      <c r="Z29" s="12">
        <v>150</v>
      </c>
      <c r="AA29" s="3"/>
      <c r="AB29" s="7"/>
      <c r="AC29" s="7"/>
      <c r="AD29" s="6"/>
      <c r="AE29" s="6"/>
      <c r="AF29" s="6">
        <f>Y29/Z29</f>
        <v>0.34</v>
      </c>
      <c r="AG29" s="3" t="s">
        <v>426</v>
      </c>
      <c r="AH29" s="3"/>
      <c r="AI29" s="3"/>
      <c r="AJ29" s="4"/>
      <c r="AK29" s="4">
        <v>61</v>
      </c>
      <c r="AL29" s="13">
        <v>150</v>
      </c>
      <c r="AM29" s="3"/>
      <c r="AN29" s="7"/>
      <c r="AO29" s="7"/>
      <c r="AP29" s="6"/>
      <c r="AQ29" s="6"/>
      <c r="AR29" s="6">
        <f>AK29/AL29</f>
        <v>0.40666666666666668</v>
      </c>
      <c r="AS29" s="3" t="s">
        <v>427</v>
      </c>
      <c r="AT29" s="3" t="s">
        <v>316</v>
      </c>
      <c r="AU29" s="3" t="s">
        <v>316</v>
      </c>
      <c r="AV29" s="3"/>
      <c r="AW29" s="3">
        <v>16</v>
      </c>
      <c r="AX29" s="10">
        <v>150</v>
      </c>
      <c r="AY29" s="3"/>
      <c r="AZ29" s="3"/>
      <c r="BA29" s="3"/>
      <c r="BB29" s="3"/>
      <c r="BC29" s="3"/>
      <c r="BD29" s="9">
        <f>AW29/AX29</f>
        <v>0.10666666666666667</v>
      </c>
      <c r="BE29" s="3" t="s">
        <v>428</v>
      </c>
      <c r="BF29" s="3"/>
      <c r="BG29" s="3"/>
      <c r="BH29" s="3"/>
      <c r="BI29" s="10">
        <v>15</v>
      </c>
      <c r="BJ29" s="10">
        <v>150</v>
      </c>
      <c r="BK29" s="3"/>
      <c r="BL29" s="3"/>
      <c r="BM29" s="3"/>
      <c r="BN29" s="3"/>
      <c r="BO29" s="3"/>
      <c r="BP29" s="12">
        <f>BI29/BJ29</f>
        <v>0.1</v>
      </c>
      <c r="BQ29" s="10" t="s">
        <v>429</v>
      </c>
      <c r="BR29" s="3"/>
      <c r="BS29" s="3" t="s">
        <v>430</v>
      </c>
      <c r="BT29" s="3"/>
    </row>
    <row r="30" spans="1:72" ht="22.5" customHeight="1" x14ac:dyDescent="0.25">
      <c r="A30" s="3">
        <v>29</v>
      </c>
      <c r="B30" s="4" t="s">
        <v>72</v>
      </c>
      <c r="C30" s="4"/>
      <c r="D30" s="4" t="s">
        <v>431</v>
      </c>
      <c r="E30" s="4" t="s">
        <v>411</v>
      </c>
      <c r="F30" s="4"/>
      <c r="G30" s="4" t="s">
        <v>432</v>
      </c>
      <c r="H30" s="4" t="s">
        <v>433</v>
      </c>
      <c r="I30" s="4" t="s">
        <v>434</v>
      </c>
      <c r="J30" s="4"/>
      <c r="K30" s="4" t="s">
        <v>435</v>
      </c>
      <c r="L30" s="4" t="s">
        <v>436</v>
      </c>
      <c r="M30" s="4" t="s">
        <v>437</v>
      </c>
      <c r="N30" s="4"/>
      <c r="O30" s="4"/>
      <c r="P30" s="4"/>
      <c r="Q30" s="4"/>
      <c r="R30" s="4"/>
      <c r="S30" s="4" t="s">
        <v>139</v>
      </c>
      <c r="T30" s="4" t="s">
        <v>84</v>
      </c>
      <c r="U30" s="4"/>
      <c r="V30" s="5"/>
      <c r="W30" s="4"/>
      <c r="X30" s="4" t="s">
        <v>140</v>
      </c>
      <c r="Y30" s="4"/>
      <c r="Z30" s="6"/>
      <c r="AA30" s="3"/>
      <c r="AB30" s="7"/>
      <c r="AC30" s="7"/>
      <c r="AD30" s="6"/>
      <c r="AE30" s="6"/>
      <c r="AF30" s="6"/>
      <c r="AG30" s="3"/>
      <c r="AH30" s="3"/>
      <c r="AI30" s="3"/>
      <c r="AJ30" s="3"/>
      <c r="AK30" s="3"/>
      <c r="AL30" s="3"/>
      <c r="AM30" s="3"/>
      <c r="AN30" s="3"/>
      <c r="AO30" s="3"/>
      <c r="AP30" s="3"/>
      <c r="AQ30" s="3"/>
      <c r="AR30" s="3"/>
      <c r="AS30" s="3"/>
      <c r="AT30" s="3"/>
      <c r="AU30" s="3"/>
      <c r="AV30" s="3"/>
      <c r="AW30" s="3"/>
      <c r="AX30" s="3"/>
      <c r="AY30" s="3"/>
      <c r="AZ30" s="3"/>
      <c r="BA30" s="3"/>
      <c r="BB30" s="3"/>
      <c r="BC30" s="3"/>
      <c r="BD30" s="9"/>
      <c r="BE30" s="3"/>
      <c r="BF30" s="3"/>
      <c r="BG30" s="3"/>
      <c r="BH30" s="3"/>
      <c r="BI30" s="3"/>
      <c r="BJ30" s="3"/>
      <c r="BK30" s="3"/>
      <c r="BL30" s="3"/>
      <c r="BM30" s="3"/>
      <c r="BN30" s="3"/>
      <c r="BO30" s="3"/>
      <c r="BP30" s="6"/>
      <c r="BQ30" s="3"/>
      <c r="BR30" s="3"/>
      <c r="BS30" s="3"/>
      <c r="BT30" s="3"/>
    </row>
    <row r="31" spans="1:72" ht="22.5" customHeight="1" x14ac:dyDescent="0.25">
      <c r="A31" s="3">
        <v>30</v>
      </c>
      <c r="B31" s="4" t="s">
        <v>72</v>
      </c>
      <c r="C31" s="4"/>
      <c r="D31" s="4" t="s">
        <v>438</v>
      </c>
      <c r="E31" s="4" t="s">
        <v>411</v>
      </c>
      <c r="F31" s="4"/>
      <c r="G31" s="4" t="s">
        <v>439</v>
      </c>
      <c r="H31" s="4" t="s">
        <v>440</v>
      </c>
      <c r="I31" s="4" t="s">
        <v>441</v>
      </c>
      <c r="J31" s="4"/>
      <c r="K31" s="4" t="s">
        <v>442</v>
      </c>
      <c r="L31" s="4" t="s">
        <v>443</v>
      </c>
      <c r="M31" s="4" t="s">
        <v>444</v>
      </c>
      <c r="N31" s="4"/>
      <c r="O31" s="4"/>
      <c r="P31" s="4"/>
      <c r="Q31" s="4"/>
      <c r="R31" s="4"/>
      <c r="S31" s="4" t="s">
        <v>139</v>
      </c>
      <c r="T31" s="4" t="s">
        <v>84</v>
      </c>
      <c r="U31" s="4"/>
      <c r="V31" s="5"/>
      <c r="W31" s="4"/>
      <c r="X31" s="4" t="s">
        <v>140</v>
      </c>
      <c r="Y31" s="4"/>
      <c r="Z31" s="6"/>
      <c r="AA31" s="3"/>
      <c r="AB31" s="7"/>
      <c r="AC31" s="7"/>
      <c r="AD31" s="6"/>
      <c r="AE31" s="6"/>
      <c r="AF31" s="6"/>
      <c r="AG31" s="3"/>
      <c r="AH31" s="3"/>
      <c r="AI31" s="3"/>
      <c r="AJ31" s="3"/>
      <c r="AK31" s="3"/>
      <c r="AL31" s="3"/>
      <c r="AM31" s="3"/>
      <c r="AN31" s="3"/>
      <c r="AO31" s="3"/>
      <c r="AP31" s="3"/>
      <c r="AQ31" s="3"/>
      <c r="AR31" s="3"/>
      <c r="AS31" s="3"/>
      <c r="AT31" s="3"/>
      <c r="AU31" s="3"/>
      <c r="AV31" s="3"/>
      <c r="AW31" s="3"/>
      <c r="AX31" s="3"/>
      <c r="AY31" s="3"/>
      <c r="AZ31" s="3"/>
      <c r="BA31" s="3"/>
      <c r="BB31" s="3"/>
      <c r="BC31" s="3"/>
      <c r="BD31" s="9"/>
      <c r="BE31" s="3"/>
      <c r="BF31" s="3"/>
      <c r="BG31" s="3"/>
      <c r="BH31" s="3"/>
      <c r="BI31" s="3"/>
      <c r="BJ31" s="3"/>
      <c r="BK31" s="3"/>
      <c r="BL31" s="3"/>
      <c r="BM31" s="3"/>
      <c r="BN31" s="3"/>
      <c r="BO31" s="3"/>
      <c r="BP31" s="6"/>
      <c r="BQ31" s="3"/>
      <c r="BR31" s="3"/>
      <c r="BS31" s="3"/>
      <c r="BT31" s="3"/>
    </row>
    <row r="32" spans="1:72" ht="22.5" customHeight="1" x14ac:dyDescent="0.25">
      <c r="A32" s="3">
        <v>31</v>
      </c>
      <c r="B32" s="4" t="s">
        <v>72</v>
      </c>
      <c r="C32" s="4"/>
      <c r="D32" s="4" t="s">
        <v>438</v>
      </c>
      <c r="E32" s="4" t="s">
        <v>411</v>
      </c>
      <c r="F32" s="4"/>
      <c r="G32" s="4" t="s">
        <v>445</v>
      </c>
      <c r="H32" s="4" t="s">
        <v>446</v>
      </c>
      <c r="I32" s="4" t="s">
        <v>447</v>
      </c>
      <c r="J32" s="4"/>
      <c r="K32" s="4" t="s">
        <v>448</v>
      </c>
      <c r="L32" s="4" t="s">
        <v>449</v>
      </c>
      <c r="M32" s="4" t="s">
        <v>443</v>
      </c>
      <c r="N32" s="4"/>
      <c r="O32" s="4"/>
      <c r="P32" s="4"/>
      <c r="Q32" s="4"/>
      <c r="R32" s="4"/>
      <c r="S32" s="4" t="s">
        <v>139</v>
      </c>
      <c r="T32" s="4" t="s">
        <v>84</v>
      </c>
      <c r="U32" s="4"/>
      <c r="V32" s="5"/>
      <c r="W32" s="4"/>
      <c r="X32" s="4" t="s">
        <v>140</v>
      </c>
      <c r="Y32" s="4"/>
      <c r="Z32" s="6"/>
      <c r="AA32" s="3"/>
      <c r="AB32" s="7"/>
      <c r="AC32" s="7"/>
      <c r="AD32" s="6"/>
      <c r="AE32" s="6"/>
      <c r="AF32" s="6"/>
      <c r="AG32" s="3"/>
      <c r="AH32" s="3"/>
      <c r="AI32" s="3"/>
      <c r="AJ32" s="3"/>
      <c r="AK32" s="3"/>
      <c r="AL32" s="3"/>
      <c r="AM32" s="3"/>
      <c r="AN32" s="3"/>
      <c r="AO32" s="3"/>
      <c r="AP32" s="3"/>
      <c r="AQ32" s="3"/>
      <c r="AR32" s="3"/>
      <c r="AS32" s="3"/>
      <c r="AT32" s="3"/>
      <c r="AU32" s="3"/>
      <c r="AV32" s="3"/>
      <c r="AW32" s="3"/>
      <c r="AX32" s="3"/>
      <c r="AY32" s="3"/>
      <c r="AZ32" s="3"/>
      <c r="BA32" s="3"/>
      <c r="BB32" s="3"/>
      <c r="BC32" s="3"/>
      <c r="BD32" s="9"/>
      <c r="BE32" s="3"/>
      <c r="BF32" s="3"/>
      <c r="BG32" s="3"/>
      <c r="BH32" s="3"/>
      <c r="BI32" s="3"/>
      <c r="BJ32" s="3"/>
      <c r="BK32" s="3"/>
      <c r="BL32" s="3"/>
      <c r="BM32" s="3"/>
      <c r="BN32" s="3"/>
      <c r="BO32" s="3"/>
      <c r="BP32" s="6"/>
      <c r="BQ32" s="3"/>
      <c r="BR32" s="3"/>
      <c r="BS32" s="3"/>
      <c r="BT32" s="3"/>
    </row>
    <row r="33" spans="1:72" ht="22.5" customHeight="1" x14ac:dyDescent="0.25">
      <c r="A33" s="3">
        <v>32</v>
      </c>
      <c r="B33" s="4" t="s">
        <v>72</v>
      </c>
      <c r="C33" s="4"/>
      <c r="D33" s="4" t="s">
        <v>431</v>
      </c>
      <c r="E33" s="4" t="s">
        <v>411</v>
      </c>
      <c r="F33" s="4"/>
      <c r="G33" s="4" t="s">
        <v>450</v>
      </c>
      <c r="H33" s="4" t="s">
        <v>451</v>
      </c>
      <c r="I33" s="4" t="s">
        <v>452</v>
      </c>
      <c r="J33" s="4"/>
      <c r="K33" s="4" t="s">
        <v>453</v>
      </c>
      <c r="L33" s="4" t="s">
        <v>454</v>
      </c>
      <c r="M33" s="4" t="s">
        <v>455</v>
      </c>
      <c r="N33" s="4"/>
      <c r="O33" s="4"/>
      <c r="P33" s="4"/>
      <c r="Q33" s="4"/>
      <c r="R33" s="4"/>
      <c r="S33" s="4" t="s">
        <v>139</v>
      </c>
      <c r="T33" s="4" t="s">
        <v>84</v>
      </c>
      <c r="U33" s="4"/>
      <c r="V33" s="5"/>
      <c r="W33" s="4"/>
      <c r="X33" s="4" t="s">
        <v>140</v>
      </c>
      <c r="Y33" s="4"/>
      <c r="Z33" s="6"/>
      <c r="AA33" s="3"/>
      <c r="AB33" s="7"/>
      <c r="AC33" s="7"/>
      <c r="AD33" s="6"/>
      <c r="AE33" s="6"/>
      <c r="AF33" s="6"/>
      <c r="AG33" s="3"/>
      <c r="AH33" s="3"/>
      <c r="AI33" s="3"/>
      <c r="AJ33" s="3"/>
      <c r="AK33" s="3"/>
      <c r="AL33" s="3"/>
      <c r="AM33" s="3"/>
      <c r="AN33" s="3"/>
      <c r="AO33" s="3"/>
      <c r="AP33" s="3"/>
      <c r="AQ33" s="3"/>
      <c r="AR33" s="3"/>
      <c r="AS33" s="3"/>
      <c r="AT33" s="3"/>
      <c r="AU33" s="3"/>
      <c r="AV33" s="3"/>
      <c r="AW33" s="3"/>
      <c r="AX33" s="3"/>
      <c r="AY33" s="3"/>
      <c r="AZ33" s="3"/>
      <c r="BA33" s="3"/>
      <c r="BB33" s="3"/>
      <c r="BC33" s="3"/>
      <c r="BD33" s="9"/>
      <c r="BE33" s="3"/>
      <c r="BF33" s="3"/>
      <c r="BG33" s="3"/>
      <c r="BH33" s="3"/>
      <c r="BI33" s="3"/>
      <c r="BJ33" s="3"/>
      <c r="BK33" s="3"/>
      <c r="BL33" s="3"/>
      <c r="BM33" s="3"/>
      <c r="BN33" s="3"/>
      <c r="BO33" s="3"/>
      <c r="BP33" s="6"/>
      <c r="BQ33" s="3"/>
      <c r="BR33" s="3"/>
      <c r="BS33" s="3"/>
      <c r="BT33" s="3"/>
    </row>
    <row r="34" spans="1:72" ht="22.5" customHeight="1" x14ac:dyDescent="0.25">
      <c r="A34" s="3">
        <v>33</v>
      </c>
      <c r="B34" s="4" t="s">
        <v>72</v>
      </c>
      <c r="C34" s="4"/>
      <c r="D34" s="4" t="s">
        <v>431</v>
      </c>
      <c r="E34" s="4" t="s">
        <v>411</v>
      </c>
      <c r="F34" s="4"/>
      <c r="G34" s="4" t="s">
        <v>456</v>
      </c>
      <c r="H34" s="4" t="s">
        <v>457</v>
      </c>
      <c r="I34" s="4" t="s">
        <v>458</v>
      </c>
      <c r="J34" s="4"/>
      <c r="K34" s="4" t="s">
        <v>459</v>
      </c>
      <c r="L34" s="4" t="s">
        <v>460</v>
      </c>
      <c r="M34" s="4" t="s">
        <v>461</v>
      </c>
      <c r="N34" s="4"/>
      <c r="O34" s="4"/>
      <c r="P34" s="4"/>
      <c r="Q34" s="4"/>
      <c r="R34" s="4"/>
      <c r="S34" s="4" t="s">
        <v>139</v>
      </c>
      <c r="T34" s="4" t="s">
        <v>84</v>
      </c>
      <c r="U34" s="4"/>
      <c r="V34" s="5"/>
      <c r="W34" s="4"/>
      <c r="X34" s="4" t="s">
        <v>140</v>
      </c>
      <c r="Y34" s="4"/>
      <c r="Z34" s="6"/>
      <c r="AA34" s="3"/>
      <c r="AB34" s="7"/>
      <c r="AC34" s="7"/>
      <c r="AD34" s="6"/>
      <c r="AE34" s="6"/>
      <c r="AF34" s="6"/>
      <c r="AG34" s="3"/>
      <c r="AH34" s="3"/>
      <c r="AI34" s="3"/>
      <c r="AJ34" s="3"/>
      <c r="AK34" s="3"/>
      <c r="AL34" s="3"/>
      <c r="AM34" s="3"/>
      <c r="AN34" s="3"/>
      <c r="AO34" s="3"/>
      <c r="AP34" s="3"/>
      <c r="AQ34" s="3"/>
      <c r="AR34" s="3"/>
      <c r="AS34" s="3"/>
      <c r="AT34" s="3"/>
      <c r="AU34" s="3"/>
      <c r="AV34" s="3"/>
      <c r="AW34" s="3"/>
      <c r="AX34" s="3"/>
      <c r="AY34" s="3"/>
      <c r="AZ34" s="3"/>
      <c r="BA34" s="3"/>
      <c r="BB34" s="3"/>
      <c r="BC34" s="3"/>
      <c r="BD34" s="9"/>
      <c r="BE34" s="3"/>
      <c r="BF34" s="3"/>
      <c r="BG34" s="3"/>
      <c r="BH34" s="3"/>
      <c r="BI34" s="3"/>
      <c r="BJ34" s="3"/>
      <c r="BK34" s="3"/>
      <c r="BL34" s="3"/>
      <c r="BM34" s="3"/>
      <c r="BN34" s="3"/>
      <c r="BO34" s="3"/>
      <c r="BP34" s="6"/>
      <c r="BQ34" s="3"/>
      <c r="BR34" s="3"/>
      <c r="BS34" s="3"/>
      <c r="BT34" s="3"/>
    </row>
    <row r="35" spans="1:72" ht="22.5" customHeight="1" x14ac:dyDescent="0.25">
      <c r="A35" s="3">
        <v>34</v>
      </c>
      <c r="B35" s="4" t="s">
        <v>72</v>
      </c>
      <c r="C35" s="4"/>
      <c r="D35" s="4" t="s">
        <v>431</v>
      </c>
      <c r="E35" s="4" t="s">
        <v>411</v>
      </c>
      <c r="F35" s="4"/>
      <c r="G35" s="4" t="s">
        <v>462</v>
      </c>
      <c r="H35" s="4" t="s">
        <v>463</v>
      </c>
      <c r="I35" s="4" t="s">
        <v>464</v>
      </c>
      <c r="J35" s="4"/>
      <c r="K35" s="4" t="s">
        <v>465</v>
      </c>
      <c r="L35" s="4" t="s">
        <v>466</v>
      </c>
      <c r="M35" s="4" t="s">
        <v>467</v>
      </c>
      <c r="N35" s="4"/>
      <c r="O35" s="4"/>
      <c r="P35" s="4"/>
      <c r="Q35" s="4"/>
      <c r="R35" s="4"/>
      <c r="S35" s="4" t="s">
        <v>139</v>
      </c>
      <c r="T35" s="4" t="s">
        <v>84</v>
      </c>
      <c r="U35" s="4"/>
      <c r="V35" s="5"/>
      <c r="W35" s="4"/>
      <c r="X35" s="4" t="s">
        <v>140</v>
      </c>
      <c r="Y35" s="4"/>
      <c r="Z35" s="6"/>
      <c r="AA35" s="3"/>
      <c r="AB35" s="7"/>
      <c r="AC35" s="7"/>
      <c r="AD35" s="6"/>
      <c r="AE35" s="6"/>
      <c r="AF35" s="6"/>
      <c r="AG35" s="3"/>
      <c r="AH35" s="3"/>
      <c r="AI35" s="3"/>
      <c r="AJ35" s="3"/>
      <c r="AK35" s="3"/>
      <c r="AL35" s="3"/>
      <c r="AM35" s="3"/>
      <c r="AN35" s="3"/>
      <c r="AO35" s="3"/>
      <c r="AP35" s="3"/>
      <c r="AQ35" s="3"/>
      <c r="AR35" s="3"/>
      <c r="AS35" s="3"/>
      <c r="AT35" s="3"/>
      <c r="AU35" s="3"/>
      <c r="AV35" s="3"/>
      <c r="AW35" s="3"/>
      <c r="AX35" s="3"/>
      <c r="AY35" s="3"/>
      <c r="AZ35" s="3"/>
      <c r="BA35" s="3"/>
      <c r="BB35" s="3"/>
      <c r="BC35" s="3"/>
      <c r="BD35" s="9"/>
      <c r="BE35" s="3"/>
      <c r="BF35" s="3"/>
      <c r="BG35" s="3"/>
      <c r="BH35" s="3"/>
      <c r="BI35" s="3"/>
      <c r="BJ35" s="3"/>
      <c r="BK35" s="3"/>
      <c r="BL35" s="3"/>
      <c r="BM35" s="3"/>
      <c r="BN35" s="3"/>
      <c r="BO35" s="3"/>
      <c r="BP35" s="6"/>
      <c r="BQ35" s="3"/>
      <c r="BR35" s="3"/>
      <c r="BS35" s="3"/>
      <c r="BT35" s="3"/>
    </row>
    <row r="36" spans="1:72" ht="22.5" customHeight="1" x14ac:dyDescent="0.25">
      <c r="A36" s="3">
        <v>35</v>
      </c>
      <c r="B36" s="4" t="s">
        <v>72</v>
      </c>
      <c r="C36" s="4"/>
      <c r="D36" s="4" t="s">
        <v>431</v>
      </c>
      <c r="E36" s="4" t="s">
        <v>411</v>
      </c>
      <c r="F36" s="4"/>
      <c r="G36" s="4" t="s">
        <v>468</v>
      </c>
      <c r="H36" s="4" t="s">
        <v>469</v>
      </c>
      <c r="I36" s="4" t="s">
        <v>470</v>
      </c>
      <c r="J36" s="4"/>
      <c r="K36" s="4" t="s">
        <v>471</v>
      </c>
      <c r="L36" s="4" t="s">
        <v>472</v>
      </c>
      <c r="M36" s="4" t="s">
        <v>473</v>
      </c>
      <c r="N36" s="4"/>
      <c r="O36" s="4"/>
      <c r="P36" s="4"/>
      <c r="Q36" s="4"/>
      <c r="R36" s="4"/>
      <c r="S36" s="4" t="s">
        <v>139</v>
      </c>
      <c r="T36" s="4" t="s">
        <v>84</v>
      </c>
      <c r="U36" s="4"/>
      <c r="V36" s="5"/>
      <c r="W36" s="4"/>
      <c r="X36" s="4" t="s">
        <v>140</v>
      </c>
      <c r="Y36" s="4"/>
      <c r="Z36" s="6"/>
      <c r="AA36" s="3"/>
      <c r="AB36" s="7"/>
      <c r="AC36" s="7"/>
      <c r="AD36" s="6"/>
      <c r="AE36" s="6"/>
      <c r="AF36" s="6"/>
      <c r="AG36" s="3"/>
      <c r="AH36" s="3"/>
      <c r="AI36" s="3"/>
      <c r="AJ36" s="3"/>
      <c r="AK36" s="3"/>
      <c r="AL36" s="3"/>
      <c r="AM36" s="3"/>
      <c r="AN36" s="3"/>
      <c r="AO36" s="3"/>
      <c r="AP36" s="3"/>
      <c r="AQ36" s="3"/>
      <c r="AR36" s="3"/>
      <c r="AS36" s="3"/>
      <c r="AT36" s="3"/>
      <c r="AU36" s="3"/>
      <c r="AV36" s="3"/>
      <c r="AW36" s="3"/>
      <c r="AX36" s="3"/>
      <c r="AY36" s="3"/>
      <c r="AZ36" s="3"/>
      <c r="BA36" s="3"/>
      <c r="BB36" s="3"/>
      <c r="BC36" s="3"/>
      <c r="BD36" s="9"/>
      <c r="BE36" s="3"/>
      <c r="BF36" s="3"/>
      <c r="BG36" s="3"/>
      <c r="BH36" s="3"/>
      <c r="BI36" s="3"/>
      <c r="BJ36" s="3"/>
      <c r="BK36" s="3"/>
      <c r="BL36" s="3"/>
      <c r="BM36" s="3"/>
      <c r="BN36" s="3"/>
      <c r="BO36" s="3"/>
      <c r="BP36" s="6"/>
      <c r="BQ36" s="3"/>
      <c r="BR36" s="3"/>
      <c r="BS36" s="3"/>
      <c r="BT36" s="3"/>
    </row>
    <row r="37" spans="1:72" ht="138.75" customHeight="1" x14ac:dyDescent="0.25">
      <c r="A37" s="3">
        <v>36</v>
      </c>
      <c r="B37" s="4" t="s">
        <v>72</v>
      </c>
      <c r="C37" s="4" t="s">
        <v>73</v>
      </c>
      <c r="D37" s="4" t="s">
        <v>474</v>
      </c>
      <c r="E37" s="4" t="s">
        <v>74</v>
      </c>
      <c r="F37" s="4" t="s">
        <v>475</v>
      </c>
      <c r="G37" s="4" t="s">
        <v>476</v>
      </c>
      <c r="H37" s="4" t="s">
        <v>477</v>
      </c>
      <c r="I37" s="4" t="s">
        <v>478</v>
      </c>
      <c r="J37" s="4" t="s">
        <v>479</v>
      </c>
      <c r="K37" s="4" t="s">
        <v>121</v>
      </c>
      <c r="L37" s="4" t="s">
        <v>480</v>
      </c>
      <c r="M37" s="4" t="s">
        <v>481</v>
      </c>
      <c r="N37" s="4"/>
      <c r="O37" s="4"/>
      <c r="P37" s="4"/>
      <c r="Q37" s="4"/>
      <c r="R37" s="4"/>
      <c r="S37" s="4" t="s">
        <v>83</v>
      </c>
      <c r="T37" s="4" t="s">
        <v>84</v>
      </c>
      <c r="U37" s="4" t="s">
        <v>482</v>
      </c>
      <c r="V37" s="5">
        <v>1</v>
      </c>
      <c r="W37" s="4">
        <v>1</v>
      </c>
      <c r="X37" s="4" t="s">
        <v>219</v>
      </c>
      <c r="Y37" s="4">
        <v>0.03</v>
      </c>
      <c r="Z37" s="6">
        <v>1</v>
      </c>
      <c r="AA37" s="3"/>
      <c r="AB37" s="7"/>
      <c r="AC37" s="7"/>
      <c r="AD37" s="6"/>
      <c r="AE37" s="6"/>
      <c r="AF37" s="6">
        <f>Y37/Z37</f>
        <v>0.03</v>
      </c>
      <c r="AG37" s="3" t="s">
        <v>483</v>
      </c>
      <c r="AH37" s="3" t="s">
        <v>484</v>
      </c>
      <c r="AI37" s="3"/>
      <c r="AJ37" s="3"/>
      <c r="AK37" s="3">
        <v>0.17499999999999999</v>
      </c>
      <c r="AL37" s="3">
        <v>1</v>
      </c>
      <c r="AM37" s="3"/>
      <c r="AN37" s="3"/>
      <c r="AO37" s="3"/>
      <c r="AP37" s="3"/>
      <c r="AQ37" s="3"/>
      <c r="AR37" s="3">
        <f>AK37/AL37</f>
        <v>0.17499999999999999</v>
      </c>
      <c r="AS37" s="3" t="s">
        <v>485</v>
      </c>
      <c r="AT37" s="3" t="s">
        <v>486</v>
      </c>
      <c r="AU37" s="3"/>
      <c r="AV37" s="3"/>
      <c r="AW37" s="3">
        <v>0.24</v>
      </c>
      <c r="AX37" s="3">
        <v>1</v>
      </c>
      <c r="AY37" s="3"/>
      <c r="AZ37" s="3"/>
      <c r="BA37" s="3"/>
      <c r="BB37" s="3"/>
      <c r="BC37" s="3"/>
      <c r="BD37" s="9">
        <f>AW37/AX37</f>
        <v>0.24</v>
      </c>
      <c r="BE37" s="3" t="s">
        <v>487</v>
      </c>
      <c r="BF37" s="3" t="s">
        <v>488</v>
      </c>
      <c r="BG37" s="3"/>
      <c r="BH37" s="3"/>
      <c r="BI37" s="10">
        <v>0.33800000000000002</v>
      </c>
      <c r="BJ37" s="3">
        <v>1</v>
      </c>
      <c r="BK37" s="3"/>
      <c r="BL37" s="3"/>
      <c r="BM37" s="3"/>
      <c r="BN37" s="3"/>
      <c r="BO37" s="3"/>
      <c r="BP37" s="6">
        <f>BI37/BJ37</f>
        <v>0.33800000000000002</v>
      </c>
      <c r="BQ37" s="10" t="s">
        <v>489</v>
      </c>
      <c r="BR37" s="10" t="s">
        <v>490</v>
      </c>
      <c r="BS37" s="10" t="s">
        <v>130</v>
      </c>
      <c r="BT37" s="3"/>
    </row>
    <row r="38" spans="1:72" ht="22.5" customHeight="1" x14ac:dyDescent="0.25">
      <c r="A38" s="3">
        <v>37</v>
      </c>
      <c r="B38" s="4" t="s">
        <v>72</v>
      </c>
      <c r="C38" s="4"/>
      <c r="D38" s="4"/>
      <c r="E38" s="4"/>
      <c r="F38" s="4"/>
      <c r="G38" s="4" t="s">
        <v>491</v>
      </c>
      <c r="H38" s="4"/>
      <c r="I38" s="4"/>
      <c r="J38" s="4"/>
      <c r="K38" s="4"/>
      <c r="L38" s="4"/>
      <c r="M38" s="4"/>
      <c r="N38" s="4"/>
      <c r="O38" s="4"/>
      <c r="P38" s="4"/>
      <c r="Q38" s="4"/>
      <c r="R38" s="4"/>
      <c r="S38" s="4"/>
      <c r="T38" s="4"/>
      <c r="U38" s="4"/>
      <c r="V38" s="5"/>
      <c r="W38" s="4"/>
      <c r="X38" s="4" t="s">
        <v>140</v>
      </c>
      <c r="Y38" s="4"/>
      <c r="Z38" s="6"/>
      <c r="AA38" s="3"/>
      <c r="AB38" s="7"/>
      <c r="AC38" s="7"/>
      <c r="AD38" s="6"/>
      <c r="AE38" s="6"/>
      <c r="AF38" s="6"/>
      <c r="AG38" s="3"/>
      <c r="AH38" s="3"/>
      <c r="AI38" s="3"/>
      <c r="AJ38" s="3"/>
      <c r="AK38" s="3"/>
      <c r="AL38" s="3"/>
      <c r="AM38" s="3"/>
      <c r="AN38" s="3"/>
      <c r="AO38" s="3"/>
      <c r="AP38" s="3"/>
      <c r="AQ38" s="3"/>
      <c r="AR38" s="3"/>
      <c r="AS38" s="3"/>
      <c r="AT38" s="3"/>
      <c r="AU38" s="3"/>
      <c r="AV38" s="3"/>
      <c r="AW38" s="3"/>
      <c r="AX38" s="3"/>
      <c r="AY38" s="3"/>
      <c r="AZ38" s="3"/>
      <c r="BA38" s="3"/>
      <c r="BB38" s="3"/>
      <c r="BC38" s="3"/>
      <c r="BD38" s="9"/>
      <c r="BE38" s="3"/>
      <c r="BF38" s="3"/>
      <c r="BG38" s="3"/>
      <c r="BH38" s="3"/>
      <c r="BI38" s="3"/>
      <c r="BJ38" s="3"/>
      <c r="BK38" s="3"/>
      <c r="BL38" s="3"/>
      <c r="BM38" s="3"/>
      <c r="BN38" s="3"/>
      <c r="BO38" s="3"/>
      <c r="BP38" s="6"/>
      <c r="BQ38" s="3"/>
      <c r="BR38" s="3"/>
      <c r="BS38" s="3"/>
      <c r="BT38" s="3"/>
    </row>
    <row r="39" spans="1:72" ht="22.5" customHeight="1" x14ac:dyDescent="0.25">
      <c r="A39" s="3">
        <v>38</v>
      </c>
      <c r="B39" s="4" t="s">
        <v>72</v>
      </c>
      <c r="C39" s="4"/>
      <c r="D39" s="4"/>
      <c r="E39" s="4"/>
      <c r="F39" s="4"/>
      <c r="G39" s="4" t="s">
        <v>492</v>
      </c>
      <c r="H39" s="4"/>
      <c r="I39" s="4"/>
      <c r="J39" s="4"/>
      <c r="K39" s="4"/>
      <c r="L39" s="4"/>
      <c r="M39" s="4"/>
      <c r="N39" s="4"/>
      <c r="O39" s="4"/>
      <c r="P39" s="4"/>
      <c r="Q39" s="4"/>
      <c r="R39" s="4"/>
      <c r="S39" s="4"/>
      <c r="T39" s="4"/>
      <c r="U39" s="4"/>
      <c r="V39" s="5"/>
      <c r="W39" s="4"/>
      <c r="X39" s="4" t="s">
        <v>140</v>
      </c>
      <c r="Y39" s="4"/>
      <c r="Z39" s="6"/>
      <c r="AA39" s="3"/>
      <c r="AB39" s="7"/>
      <c r="AC39" s="7"/>
      <c r="AD39" s="6"/>
      <c r="AE39" s="6"/>
      <c r="AF39" s="6"/>
      <c r="AG39" s="3"/>
      <c r="AH39" s="3"/>
      <c r="AI39" s="3"/>
      <c r="AJ39" s="3"/>
      <c r="AK39" s="3"/>
      <c r="AL39" s="3"/>
      <c r="AM39" s="3"/>
      <c r="AN39" s="3"/>
      <c r="AO39" s="3"/>
      <c r="AP39" s="3"/>
      <c r="AQ39" s="3"/>
      <c r="AR39" s="3"/>
      <c r="AS39" s="3"/>
      <c r="AT39" s="3"/>
      <c r="AU39" s="3"/>
      <c r="AV39" s="3"/>
      <c r="AW39" s="3"/>
      <c r="AX39" s="3"/>
      <c r="AY39" s="3"/>
      <c r="AZ39" s="3"/>
      <c r="BA39" s="3"/>
      <c r="BB39" s="3"/>
      <c r="BC39" s="3"/>
      <c r="BD39" s="9"/>
      <c r="BE39" s="3"/>
      <c r="BF39" s="3"/>
      <c r="BG39" s="3"/>
      <c r="BH39" s="3"/>
      <c r="BI39" s="3"/>
      <c r="BJ39" s="3"/>
      <c r="BK39" s="3"/>
      <c r="BL39" s="3"/>
      <c r="BM39" s="3"/>
      <c r="BN39" s="3"/>
      <c r="BO39" s="3"/>
      <c r="BP39" s="6"/>
      <c r="BQ39" s="3"/>
      <c r="BR39" s="3"/>
      <c r="BS39" s="3"/>
      <c r="BT39" s="3"/>
    </row>
    <row r="40" spans="1:72" ht="105.75" customHeight="1" x14ac:dyDescent="0.25">
      <c r="A40" s="3">
        <v>39</v>
      </c>
      <c r="B40" s="4" t="s">
        <v>144</v>
      </c>
      <c r="C40" s="4" t="s">
        <v>73</v>
      </c>
      <c r="D40" s="4" t="s">
        <v>281</v>
      </c>
      <c r="E40" s="4" t="s">
        <v>334</v>
      </c>
      <c r="F40" s="4" t="s">
        <v>283</v>
      </c>
      <c r="G40" s="4" t="s">
        <v>493</v>
      </c>
      <c r="H40" s="4" t="s">
        <v>494</v>
      </c>
      <c r="I40" s="4" t="s">
        <v>495</v>
      </c>
      <c r="J40" s="4" t="s">
        <v>496</v>
      </c>
      <c r="K40" s="4" t="s">
        <v>497</v>
      </c>
      <c r="L40" s="4" t="s">
        <v>498</v>
      </c>
      <c r="M40" s="4" t="s">
        <v>499</v>
      </c>
      <c r="N40" s="4"/>
      <c r="O40" s="4"/>
      <c r="P40" s="4"/>
      <c r="Q40" s="4"/>
      <c r="R40" s="4"/>
      <c r="S40" s="4" t="s">
        <v>83</v>
      </c>
      <c r="T40" s="4" t="s">
        <v>105</v>
      </c>
      <c r="U40" s="4" t="s">
        <v>500</v>
      </c>
      <c r="V40" s="5">
        <v>0.05</v>
      </c>
      <c r="W40" s="4">
        <v>0.03</v>
      </c>
      <c r="X40" s="4" t="s">
        <v>501</v>
      </c>
      <c r="Y40" s="4">
        <v>14</v>
      </c>
      <c r="Z40" s="6">
        <v>450</v>
      </c>
      <c r="AA40" s="3"/>
      <c r="AB40" s="7"/>
      <c r="AC40" s="7"/>
      <c r="AD40" s="6"/>
      <c r="AE40" s="6"/>
      <c r="AF40" s="6">
        <f>Y40/Z40</f>
        <v>3.111111111111111E-2</v>
      </c>
      <c r="AG40" s="3" t="s">
        <v>502</v>
      </c>
      <c r="AH40" s="3" t="s">
        <v>503</v>
      </c>
      <c r="AI40" s="3"/>
      <c r="AJ40" s="3"/>
      <c r="AK40" s="3">
        <v>9</v>
      </c>
      <c r="AL40" s="3">
        <v>401</v>
      </c>
      <c r="AM40" s="3"/>
      <c r="AN40" s="3"/>
      <c r="AO40" s="3"/>
      <c r="AP40" s="3"/>
      <c r="AQ40" s="3"/>
      <c r="AR40" s="6">
        <f>AK40/AL40</f>
        <v>2.2443890274314215E-2</v>
      </c>
      <c r="AS40" s="3" t="s">
        <v>504</v>
      </c>
      <c r="AT40" s="3" t="s">
        <v>505</v>
      </c>
      <c r="AU40" s="3"/>
      <c r="AV40" s="3"/>
      <c r="AW40" s="3">
        <v>11</v>
      </c>
      <c r="AX40" s="3">
        <v>448</v>
      </c>
      <c r="AY40" s="3"/>
      <c r="AZ40" s="3"/>
      <c r="BA40" s="3"/>
      <c r="BB40" s="3"/>
      <c r="BC40" s="3"/>
      <c r="BD40" s="9">
        <f>AW40/AX40</f>
        <v>2.4553571428571428E-2</v>
      </c>
      <c r="BE40" s="3" t="s">
        <v>506</v>
      </c>
      <c r="BF40" s="3" t="s">
        <v>507</v>
      </c>
      <c r="BG40" s="3"/>
      <c r="BH40" s="3"/>
      <c r="BI40" s="10">
        <v>6</v>
      </c>
      <c r="BJ40" s="10">
        <v>452</v>
      </c>
      <c r="BK40" s="3"/>
      <c r="BL40" s="3"/>
      <c r="BM40" s="3"/>
      <c r="BN40" s="3"/>
      <c r="BO40" s="3"/>
      <c r="BP40" s="6">
        <f>BI40/BJ40</f>
        <v>1.3274336283185841E-2</v>
      </c>
      <c r="BQ40" s="10" t="s">
        <v>508</v>
      </c>
      <c r="BR40" s="10" t="s">
        <v>509</v>
      </c>
      <c r="BS40" s="3"/>
      <c r="BT40" s="3"/>
    </row>
    <row r="41" spans="1:72" ht="105" customHeight="1" x14ac:dyDescent="0.25">
      <c r="A41" s="3">
        <v>40</v>
      </c>
      <c r="B41" s="4" t="s">
        <v>144</v>
      </c>
      <c r="C41" s="4" t="s">
        <v>162</v>
      </c>
      <c r="D41" s="4" t="s">
        <v>281</v>
      </c>
      <c r="E41" s="4" t="s">
        <v>334</v>
      </c>
      <c r="F41" s="4" t="s">
        <v>335</v>
      </c>
      <c r="G41" s="16" t="s">
        <v>510</v>
      </c>
      <c r="H41" s="4" t="s">
        <v>511</v>
      </c>
      <c r="I41" s="4" t="s">
        <v>512</v>
      </c>
      <c r="J41" s="4" t="s">
        <v>513</v>
      </c>
      <c r="K41" s="4" t="s">
        <v>514</v>
      </c>
      <c r="L41" s="4" t="s">
        <v>515</v>
      </c>
      <c r="M41" s="4" t="s">
        <v>516</v>
      </c>
      <c r="N41" s="4" t="s">
        <v>517</v>
      </c>
      <c r="O41" s="4" t="s">
        <v>518</v>
      </c>
      <c r="P41" s="4"/>
      <c r="Q41" s="4"/>
      <c r="R41" s="4"/>
      <c r="S41" s="4" t="s">
        <v>406</v>
      </c>
      <c r="T41" s="4" t="s">
        <v>407</v>
      </c>
      <c r="U41" s="4" t="s">
        <v>519</v>
      </c>
      <c r="V41" s="4" t="s">
        <v>520</v>
      </c>
      <c r="W41" s="4" t="s">
        <v>520</v>
      </c>
      <c r="X41" s="4" t="s">
        <v>501</v>
      </c>
      <c r="Y41" s="4">
        <v>148</v>
      </c>
      <c r="Z41" s="6">
        <v>22</v>
      </c>
      <c r="AA41" s="4"/>
      <c r="AB41" s="4"/>
      <c r="AC41" s="7"/>
      <c r="AD41" s="6"/>
      <c r="AE41" s="6"/>
      <c r="AF41" s="6">
        <f>Z41+Y41</f>
        <v>170</v>
      </c>
      <c r="AG41" s="3" t="s">
        <v>521</v>
      </c>
      <c r="AH41" s="3" t="s">
        <v>522</v>
      </c>
      <c r="AI41" s="3"/>
      <c r="AJ41" s="3"/>
      <c r="AK41" s="3">
        <v>101</v>
      </c>
      <c r="AL41" s="3">
        <v>24</v>
      </c>
      <c r="AM41" s="3"/>
      <c r="AN41" s="3"/>
      <c r="AO41" s="3"/>
      <c r="AP41" s="3"/>
      <c r="AQ41" s="3"/>
      <c r="AR41" s="6">
        <f>AL41/AK41</f>
        <v>0.23762376237623761</v>
      </c>
      <c r="AS41" s="3" t="s">
        <v>523</v>
      </c>
      <c r="AT41" s="3" t="s">
        <v>524</v>
      </c>
      <c r="AU41" s="3"/>
      <c r="AV41" s="3"/>
      <c r="AW41" s="3">
        <v>54</v>
      </c>
      <c r="AX41" s="3">
        <v>31</v>
      </c>
      <c r="AY41" s="3"/>
      <c r="AZ41" s="3"/>
      <c r="BA41" s="3"/>
      <c r="BB41" s="3"/>
      <c r="BC41" s="3"/>
      <c r="BD41" s="9">
        <f>AX41/AW41</f>
        <v>0.57407407407407407</v>
      </c>
      <c r="BE41" s="3" t="s">
        <v>525</v>
      </c>
      <c r="BF41" s="3" t="s">
        <v>524</v>
      </c>
      <c r="BG41" s="3"/>
      <c r="BH41" s="3"/>
      <c r="BI41" s="3"/>
      <c r="BJ41" s="3"/>
      <c r="BK41" s="3"/>
      <c r="BL41" s="3"/>
      <c r="BM41" s="3"/>
      <c r="BN41" s="3"/>
      <c r="BO41" s="3"/>
      <c r="BP41" s="6"/>
      <c r="BQ41" s="3"/>
      <c r="BR41" s="3"/>
      <c r="BS41" s="3"/>
      <c r="BT41" s="3"/>
    </row>
    <row r="42" spans="1:72" ht="22.5" customHeight="1" x14ac:dyDescent="0.25">
      <c r="A42" s="3">
        <v>41</v>
      </c>
      <c r="B42" s="4" t="s">
        <v>526</v>
      </c>
      <c r="C42" s="4"/>
      <c r="D42" s="4" t="s">
        <v>438</v>
      </c>
      <c r="E42" s="4"/>
      <c r="F42" s="4"/>
      <c r="G42" s="4" t="s">
        <v>527</v>
      </c>
      <c r="H42" s="4" t="s">
        <v>528</v>
      </c>
      <c r="I42" s="4" t="s">
        <v>529</v>
      </c>
      <c r="J42" s="4"/>
      <c r="K42" s="4" t="s">
        <v>530</v>
      </c>
      <c r="L42" s="4" t="s">
        <v>531</v>
      </c>
      <c r="M42" s="4" t="s">
        <v>532</v>
      </c>
      <c r="N42" s="4" t="s">
        <v>533</v>
      </c>
      <c r="O42" s="4"/>
      <c r="P42" s="4"/>
      <c r="Q42" s="4"/>
      <c r="R42" s="4"/>
      <c r="S42" s="4" t="s">
        <v>534</v>
      </c>
      <c r="T42" s="4" t="s">
        <v>407</v>
      </c>
      <c r="U42" s="4"/>
      <c r="V42" s="5"/>
      <c r="W42" s="4"/>
      <c r="X42" s="13" t="s">
        <v>140</v>
      </c>
      <c r="Y42" s="4"/>
      <c r="Z42" s="6"/>
      <c r="AA42" s="3"/>
      <c r="AB42" s="7"/>
      <c r="AC42" s="7"/>
      <c r="AD42" s="6"/>
      <c r="AE42" s="6"/>
      <c r="AF42" s="6"/>
      <c r="AG42" s="3"/>
      <c r="AH42" s="3"/>
      <c r="AI42" s="3"/>
      <c r="AJ42" s="3"/>
      <c r="AK42" s="3"/>
      <c r="AL42" s="3"/>
      <c r="AM42" s="3"/>
      <c r="AN42" s="3"/>
      <c r="AO42" s="3"/>
      <c r="AP42" s="3"/>
      <c r="AQ42" s="3"/>
      <c r="AR42" s="3"/>
      <c r="AS42" s="3"/>
      <c r="AT42" s="3"/>
      <c r="AU42" s="3"/>
      <c r="AV42" s="3"/>
      <c r="AW42" s="3"/>
      <c r="AX42" s="3"/>
      <c r="AY42" s="3"/>
      <c r="AZ42" s="3"/>
      <c r="BA42" s="3"/>
      <c r="BB42" s="3"/>
      <c r="BC42" s="3"/>
      <c r="BD42" s="9"/>
      <c r="BE42" s="3"/>
      <c r="BF42" s="3"/>
      <c r="BG42" s="3"/>
      <c r="BH42" s="3"/>
      <c r="BI42" s="3"/>
      <c r="BJ42" s="3"/>
      <c r="BK42" s="3"/>
      <c r="BL42" s="3"/>
      <c r="BM42" s="3"/>
      <c r="BN42" s="3"/>
      <c r="BO42" s="3"/>
      <c r="BP42" s="6"/>
      <c r="BQ42" s="3"/>
      <c r="BR42" s="3"/>
      <c r="BS42" s="3"/>
      <c r="BT42" s="3"/>
    </row>
    <row r="43" spans="1:72" ht="22.5" customHeight="1" x14ac:dyDescent="0.25">
      <c r="A43" s="3">
        <v>42</v>
      </c>
      <c r="B43" s="4" t="s">
        <v>526</v>
      </c>
      <c r="C43" s="4"/>
      <c r="D43" s="4" t="s">
        <v>438</v>
      </c>
      <c r="E43" s="4"/>
      <c r="F43" s="4"/>
      <c r="G43" s="4" t="s">
        <v>535</v>
      </c>
      <c r="H43" s="4" t="s">
        <v>536</v>
      </c>
      <c r="I43" s="4" t="s">
        <v>537</v>
      </c>
      <c r="J43" s="4"/>
      <c r="K43" s="4" t="s">
        <v>538</v>
      </c>
      <c r="L43" s="4" t="s">
        <v>539</v>
      </c>
      <c r="M43" s="4" t="s">
        <v>540</v>
      </c>
      <c r="N43" s="4"/>
      <c r="O43" s="4"/>
      <c r="P43" s="4"/>
      <c r="Q43" s="4"/>
      <c r="R43" s="4"/>
      <c r="S43" s="4" t="s">
        <v>83</v>
      </c>
      <c r="T43" s="4" t="s">
        <v>84</v>
      </c>
      <c r="U43" s="4"/>
      <c r="V43" s="5"/>
      <c r="W43" s="4"/>
      <c r="X43" s="13" t="s">
        <v>140</v>
      </c>
      <c r="Y43" s="4"/>
      <c r="Z43" s="6"/>
      <c r="AA43" s="3"/>
      <c r="AB43" s="7"/>
      <c r="AC43" s="7"/>
      <c r="AD43" s="6"/>
      <c r="AE43" s="6"/>
      <c r="AF43" s="6"/>
      <c r="AG43" s="3"/>
      <c r="AH43" s="3"/>
      <c r="AI43" s="3"/>
      <c r="AJ43" s="3"/>
      <c r="AK43" s="3"/>
      <c r="AL43" s="3"/>
      <c r="AM43" s="3"/>
      <c r="AN43" s="3"/>
      <c r="AO43" s="3"/>
      <c r="AP43" s="3"/>
      <c r="AQ43" s="3"/>
      <c r="AR43" s="3"/>
      <c r="AS43" s="3"/>
      <c r="AT43" s="3"/>
      <c r="AU43" s="3"/>
      <c r="AV43" s="3"/>
      <c r="AW43" s="3"/>
      <c r="AX43" s="3"/>
      <c r="AY43" s="3"/>
      <c r="AZ43" s="3"/>
      <c r="BA43" s="3"/>
      <c r="BB43" s="3"/>
      <c r="BC43" s="3"/>
      <c r="BD43" s="9"/>
      <c r="BE43" s="3"/>
      <c r="BF43" s="3"/>
      <c r="BG43" s="3"/>
      <c r="BH43" s="3"/>
      <c r="BI43" s="3"/>
      <c r="BJ43" s="3"/>
      <c r="BK43" s="3"/>
      <c r="BL43" s="3"/>
      <c r="BM43" s="3"/>
      <c r="BN43" s="3"/>
      <c r="BO43" s="3"/>
      <c r="BP43" s="6"/>
      <c r="BQ43" s="3"/>
      <c r="BR43" s="3"/>
      <c r="BS43" s="3"/>
      <c r="BT43" s="3"/>
    </row>
    <row r="44" spans="1:72" ht="22.5" customHeight="1" x14ac:dyDescent="0.25">
      <c r="A44" s="3">
        <v>43</v>
      </c>
      <c r="B44" s="4" t="s">
        <v>526</v>
      </c>
      <c r="C44" s="4"/>
      <c r="D44" s="4" t="s">
        <v>438</v>
      </c>
      <c r="E44" s="4"/>
      <c r="F44" s="4"/>
      <c r="G44" s="4" t="s">
        <v>541</v>
      </c>
      <c r="H44" s="4" t="s">
        <v>542</v>
      </c>
      <c r="I44" s="4" t="s">
        <v>543</v>
      </c>
      <c r="J44" s="4"/>
      <c r="K44" s="4" t="s">
        <v>544</v>
      </c>
      <c r="L44" s="4" t="s">
        <v>545</v>
      </c>
      <c r="M44" s="4" t="s">
        <v>546</v>
      </c>
      <c r="N44" s="4"/>
      <c r="O44" s="4"/>
      <c r="P44" s="4"/>
      <c r="Q44" s="4"/>
      <c r="R44" s="4"/>
      <c r="S44" s="4" t="s">
        <v>83</v>
      </c>
      <c r="T44" s="4" t="s">
        <v>84</v>
      </c>
      <c r="U44" s="4"/>
      <c r="V44" s="5"/>
      <c r="W44" s="4"/>
      <c r="X44" s="13" t="s">
        <v>140</v>
      </c>
      <c r="Y44" s="4"/>
      <c r="Z44" s="6"/>
      <c r="AA44" s="3"/>
      <c r="AB44" s="7"/>
      <c r="AC44" s="7"/>
      <c r="AD44" s="6"/>
      <c r="AE44" s="6"/>
      <c r="AF44" s="6"/>
      <c r="AG44" s="3"/>
      <c r="AH44" s="3"/>
      <c r="AI44" s="3"/>
      <c r="AJ44" s="3"/>
      <c r="AK44" s="3"/>
      <c r="AL44" s="3"/>
      <c r="AM44" s="3"/>
      <c r="AN44" s="3"/>
      <c r="AO44" s="3"/>
      <c r="AP44" s="3"/>
      <c r="AQ44" s="3"/>
      <c r="AR44" s="3"/>
      <c r="AS44" s="3"/>
      <c r="AT44" s="3"/>
      <c r="AU44" s="3"/>
      <c r="AV44" s="3"/>
      <c r="AW44" s="3"/>
      <c r="AX44" s="3"/>
      <c r="AY44" s="3"/>
      <c r="AZ44" s="3"/>
      <c r="BA44" s="3"/>
      <c r="BB44" s="3"/>
      <c r="BC44" s="3"/>
      <c r="BD44" s="9"/>
      <c r="BE44" s="3"/>
      <c r="BF44" s="3"/>
      <c r="BG44" s="3"/>
      <c r="BH44" s="3"/>
      <c r="BI44" s="3"/>
      <c r="BJ44" s="3"/>
      <c r="BK44" s="3"/>
      <c r="BL44" s="3"/>
      <c r="BM44" s="3"/>
      <c r="BN44" s="3"/>
      <c r="BO44" s="3"/>
      <c r="BP44" s="6"/>
      <c r="BQ44" s="3"/>
      <c r="BR44" s="3"/>
      <c r="BS44" s="3"/>
      <c r="BT44" s="3"/>
    </row>
    <row r="45" spans="1:72" ht="98.25" customHeight="1" x14ac:dyDescent="0.25">
      <c r="A45" s="3">
        <v>44</v>
      </c>
      <c r="B45" s="4" t="s">
        <v>526</v>
      </c>
      <c r="C45" s="4" t="s">
        <v>547</v>
      </c>
      <c r="D45" s="4" t="s">
        <v>548</v>
      </c>
      <c r="E45" s="4" t="s">
        <v>549</v>
      </c>
      <c r="F45" s="4" t="s">
        <v>550</v>
      </c>
      <c r="G45" s="4" t="s">
        <v>551</v>
      </c>
      <c r="H45" s="4" t="s">
        <v>552</v>
      </c>
      <c r="I45" s="4" t="s">
        <v>553</v>
      </c>
      <c r="J45" s="4" t="s">
        <v>554</v>
      </c>
      <c r="K45" s="4" t="s">
        <v>555</v>
      </c>
      <c r="L45" s="4" t="s">
        <v>556</v>
      </c>
      <c r="M45" s="4" t="s">
        <v>557</v>
      </c>
      <c r="N45" s="4"/>
      <c r="O45" s="4"/>
      <c r="P45" s="4"/>
      <c r="Q45" s="4"/>
      <c r="R45" s="4"/>
      <c r="S45" s="4" t="s">
        <v>83</v>
      </c>
      <c r="T45" s="4" t="s">
        <v>84</v>
      </c>
      <c r="U45" s="4" t="s">
        <v>558</v>
      </c>
      <c r="V45" s="5">
        <v>5</v>
      </c>
      <c r="W45" s="4">
        <v>4</v>
      </c>
      <c r="X45" s="4" t="s">
        <v>219</v>
      </c>
      <c r="Y45" s="13">
        <v>0.4</v>
      </c>
      <c r="Z45" s="12">
        <v>4</v>
      </c>
      <c r="AA45" s="3"/>
      <c r="AB45" s="7"/>
      <c r="AC45" s="7"/>
      <c r="AD45" s="6"/>
      <c r="AE45" s="6"/>
      <c r="AF45" s="6">
        <f>Y45/W45</f>
        <v>0.1</v>
      </c>
      <c r="AG45" s="10" t="s">
        <v>559</v>
      </c>
      <c r="AH45" s="10" t="s">
        <v>560</v>
      </c>
      <c r="AI45" s="10"/>
      <c r="AJ45" s="10" t="s">
        <v>561</v>
      </c>
      <c r="AK45" s="10">
        <v>0.4</v>
      </c>
      <c r="AL45" s="10">
        <v>4</v>
      </c>
      <c r="AM45" s="3"/>
      <c r="AN45" s="3"/>
      <c r="AO45" s="3"/>
      <c r="AP45" s="3"/>
      <c r="AQ45" s="3"/>
      <c r="AR45" s="3">
        <f>AK45/AL45</f>
        <v>0.1</v>
      </c>
      <c r="AS45" s="10" t="s">
        <v>562</v>
      </c>
      <c r="AT45" s="10" t="s">
        <v>563</v>
      </c>
      <c r="AU45" s="10"/>
      <c r="AV45" s="3"/>
      <c r="AW45" s="10">
        <v>0.2</v>
      </c>
      <c r="AX45" s="10">
        <v>4</v>
      </c>
      <c r="AY45" s="3"/>
      <c r="AZ45" s="3"/>
      <c r="BA45" s="3"/>
      <c r="BB45" s="3"/>
      <c r="BC45" s="3"/>
      <c r="BD45" s="9">
        <f>AW45/AX45</f>
        <v>0.05</v>
      </c>
      <c r="BE45" s="10" t="s">
        <v>564</v>
      </c>
      <c r="BF45" s="10" t="s">
        <v>565</v>
      </c>
      <c r="BG45" s="10"/>
      <c r="BH45" s="10"/>
      <c r="BI45" s="10">
        <v>0.2</v>
      </c>
      <c r="BJ45" s="10">
        <v>4</v>
      </c>
      <c r="BK45" s="10"/>
      <c r="BL45" s="10"/>
      <c r="BM45" s="10"/>
      <c r="BN45" s="10"/>
      <c r="BO45" s="10"/>
      <c r="BP45" s="12">
        <f>0.2/4</f>
        <v>0.05</v>
      </c>
      <c r="BQ45" s="10" t="s">
        <v>566</v>
      </c>
      <c r="BR45" s="10" t="s">
        <v>567</v>
      </c>
      <c r="BS45" s="10" t="s">
        <v>568</v>
      </c>
      <c r="BT45" s="10"/>
    </row>
    <row r="46" spans="1:72" ht="97.5" customHeight="1" x14ac:dyDescent="0.25">
      <c r="A46" s="3">
        <v>45</v>
      </c>
      <c r="B46" s="4" t="s">
        <v>526</v>
      </c>
      <c r="C46" s="4" t="s">
        <v>547</v>
      </c>
      <c r="D46" s="4" t="s">
        <v>548</v>
      </c>
      <c r="E46" s="4" t="s">
        <v>549</v>
      </c>
      <c r="F46" s="4" t="s">
        <v>550</v>
      </c>
      <c r="G46" s="4" t="s">
        <v>569</v>
      </c>
      <c r="H46" s="4" t="s">
        <v>570</v>
      </c>
      <c r="I46" s="4" t="s">
        <v>571</v>
      </c>
      <c r="J46" s="4" t="s">
        <v>572</v>
      </c>
      <c r="K46" s="4" t="s">
        <v>573</v>
      </c>
      <c r="L46" s="4" t="s">
        <v>574</v>
      </c>
      <c r="M46" s="4" t="s">
        <v>575</v>
      </c>
      <c r="N46" s="4"/>
      <c r="O46" s="4"/>
      <c r="P46" s="4"/>
      <c r="Q46" s="4"/>
      <c r="R46" s="4"/>
      <c r="S46" s="4" t="s">
        <v>83</v>
      </c>
      <c r="T46" s="4" t="s">
        <v>407</v>
      </c>
      <c r="U46" s="4" t="s">
        <v>576</v>
      </c>
      <c r="V46" s="5">
        <v>7</v>
      </c>
      <c r="W46" s="4">
        <v>8</v>
      </c>
      <c r="X46" s="4" t="s">
        <v>219</v>
      </c>
      <c r="Y46" s="13">
        <v>2</v>
      </c>
      <c r="Z46" s="12">
        <v>2</v>
      </c>
      <c r="AA46" s="3"/>
      <c r="AB46" s="7"/>
      <c r="AC46" s="7"/>
      <c r="AD46" s="6"/>
      <c r="AE46" s="6"/>
      <c r="AF46" s="6">
        <f>Y46/Z46</f>
        <v>1</v>
      </c>
      <c r="AG46" s="10" t="s">
        <v>577</v>
      </c>
      <c r="AH46" s="10" t="s">
        <v>578</v>
      </c>
      <c r="AI46" s="10"/>
      <c r="AJ46" s="3"/>
      <c r="AK46" s="3">
        <v>0</v>
      </c>
      <c r="AL46" s="3">
        <v>0</v>
      </c>
      <c r="AM46" s="3"/>
      <c r="AN46" s="3"/>
      <c r="AO46" s="3"/>
      <c r="AP46" s="3"/>
      <c r="AQ46" s="3"/>
      <c r="AR46" s="3" t="str">
        <f>IFERROR(AK46/AL46,"0")</f>
        <v>0</v>
      </c>
      <c r="AS46" s="3" t="s">
        <v>579</v>
      </c>
      <c r="AT46" s="3" t="s">
        <v>580</v>
      </c>
      <c r="AU46" s="3"/>
      <c r="AV46" s="3"/>
      <c r="AW46" s="3">
        <v>0</v>
      </c>
      <c r="AX46" s="3">
        <v>0</v>
      </c>
      <c r="AY46" s="3"/>
      <c r="AZ46" s="3"/>
      <c r="BA46" s="3"/>
      <c r="BB46" s="3"/>
      <c r="BC46" s="3"/>
      <c r="BD46" s="9" t="str">
        <f>IFERROR(AW46/AX46,"0")</f>
        <v>0</v>
      </c>
      <c r="BE46" s="3" t="s">
        <v>581</v>
      </c>
      <c r="BF46" s="3" t="s">
        <v>582</v>
      </c>
      <c r="BG46" s="3"/>
      <c r="BH46" s="3"/>
      <c r="BI46" s="10">
        <v>0</v>
      </c>
      <c r="BJ46" s="10">
        <v>0</v>
      </c>
      <c r="BK46" s="3"/>
      <c r="BL46" s="3"/>
      <c r="BM46" s="3"/>
      <c r="BN46" s="3"/>
      <c r="BO46" s="3"/>
      <c r="BP46" s="6" t="str">
        <f>IFERROR(BI46/BJ46,"0")</f>
        <v>0</v>
      </c>
      <c r="BQ46" s="10" t="s">
        <v>583</v>
      </c>
      <c r="BR46" s="10" t="s">
        <v>584</v>
      </c>
      <c r="BS46" s="10" t="s">
        <v>585</v>
      </c>
      <c r="BT46" s="3"/>
    </row>
    <row r="47" spans="1:72" ht="22.5" customHeight="1" x14ac:dyDescent="0.25">
      <c r="A47" s="3">
        <v>46</v>
      </c>
      <c r="B47" s="4" t="s">
        <v>526</v>
      </c>
      <c r="C47" s="4"/>
      <c r="D47" s="4" t="s">
        <v>438</v>
      </c>
      <c r="E47" s="4"/>
      <c r="F47" s="4"/>
      <c r="G47" s="4" t="s">
        <v>586</v>
      </c>
      <c r="H47" s="4" t="s">
        <v>587</v>
      </c>
      <c r="I47" s="4" t="s">
        <v>588</v>
      </c>
      <c r="J47" s="4"/>
      <c r="K47" s="4" t="s">
        <v>589</v>
      </c>
      <c r="L47" s="4" t="s">
        <v>590</v>
      </c>
      <c r="M47" s="4" t="s">
        <v>591</v>
      </c>
      <c r="N47" s="4"/>
      <c r="O47" s="4"/>
      <c r="P47" s="4"/>
      <c r="Q47" s="4"/>
      <c r="R47" s="4"/>
      <c r="S47" s="4" t="s">
        <v>83</v>
      </c>
      <c r="T47" s="4" t="s">
        <v>84</v>
      </c>
      <c r="U47" s="4"/>
      <c r="V47" s="5"/>
      <c r="W47" s="4"/>
      <c r="X47" s="13" t="s">
        <v>140</v>
      </c>
      <c r="Y47" s="4"/>
      <c r="Z47" s="6"/>
      <c r="AA47" s="3"/>
      <c r="AB47" s="7"/>
      <c r="AC47" s="7"/>
      <c r="AD47" s="6"/>
      <c r="AE47" s="6"/>
      <c r="AF47" s="6"/>
      <c r="AG47" s="3"/>
      <c r="AH47" s="3"/>
      <c r="AI47" s="3"/>
      <c r="AJ47" s="3"/>
      <c r="AK47" s="3"/>
      <c r="AL47" s="3"/>
      <c r="AM47" s="3"/>
      <c r="AN47" s="3"/>
      <c r="AO47" s="3"/>
      <c r="AP47" s="3"/>
      <c r="AQ47" s="3"/>
      <c r="AR47" s="3"/>
      <c r="AS47" s="3"/>
      <c r="AT47" s="3"/>
      <c r="AU47" s="3"/>
      <c r="AV47" s="3"/>
      <c r="AW47" s="3"/>
      <c r="AX47" s="3"/>
      <c r="AY47" s="3"/>
      <c r="AZ47" s="3"/>
      <c r="BA47" s="3"/>
      <c r="BB47" s="3"/>
      <c r="BC47" s="3"/>
      <c r="BD47" s="9"/>
      <c r="BE47" s="3"/>
      <c r="BF47" s="3"/>
      <c r="BG47" s="3"/>
      <c r="BH47" s="3"/>
      <c r="BI47" s="3"/>
      <c r="BJ47" s="3"/>
      <c r="BK47" s="3"/>
      <c r="BL47" s="3"/>
      <c r="BM47" s="3"/>
      <c r="BN47" s="3"/>
      <c r="BO47" s="3"/>
      <c r="BP47" s="6"/>
      <c r="BQ47" s="3"/>
      <c r="BR47" s="3"/>
      <c r="BS47" s="3"/>
      <c r="BT47" s="3"/>
    </row>
    <row r="48" spans="1:72" ht="22.5" customHeight="1" x14ac:dyDescent="0.25">
      <c r="A48" s="3">
        <v>47</v>
      </c>
      <c r="B48" s="4" t="s">
        <v>526</v>
      </c>
      <c r="C48" s="4"/>
      <c r="D48" s="4" t="s">
        <v>438</v>
      </c>
      <c r="E48" s="4"/>
      <c r="F48" s="4"/>
      <c r="G48" s="4" t="s">
        <v>592</v>
      </c>
      <c r="H48" s="4" t="s">
        <v>593</v>
      </c>
      <c r="I48" s="4" t="s">
        <v>594</v>
      </c>
      <c r="J48" s="4"/>
      <c r="K48" s="4" t="s">
        <v>530</v>
      </c>
      <c r="L48" s="4" t="s">
        <v>595</v>
      </c>
      <c r="M48" s="4"/>
      <c r="N48" s="4"/>
      <c r="O48" s="4"/>
      <c r="P48" s="4"/>
      <c r="Q48" s="4"/>
      <c r="R48" s="4"/>
      <c r="S48" s="4" t="s">
        <v>83</v>
      </c>
      <c r="T48" s="4" t="s">
        <v>407</v>
      </c>
      <c r="U48" s="4"/>
      <c r="V48" s="5"/>
      <c r="W48" s="4"/>
      <c r="X48" s="13" t="s">
        <v>140</v>
      </c>
      <c r="Y48" s="4"/>
      <c r="Z48" s="6"/>
      <c r="AA48" s="3"/>
      <c r="AB48" s="7"/>
      <c r="AC48" s="7"/>
      <c r="AD48" s="6"/>
      <c r="AE48" s="6"/>
      <c r="AF48" s="6"/>
      <c r="AG48" s="3"/>
      <c r="AH48" s="3"/>
      <c r="AI48" s="3"/>
      <c r="AJ48" s="3"/>
      <c r="AK48" s="3"/>
      <c r="AL48" s="3"/>
      <c r="AM48" s="3"/>
      <c r="AN48" s="3"/>
      <c r="AO48" s="3"/>
      <c r="AP48" s="3"/>
      <c r="AQ48" s="3"/>
      <c r="AR48" s="3"/>
      <c r="AS48" s="3"/>
      <c r="AT48" s="3"/>
      <c r="AU48" s="3"/>
      <c r="AV48" s="3"/>
      <c r="AW48" s="3"/>
      <c r="AX48" s="3"/>
      <c r="AY48" s="3"/>
      <c r="AZ48" s="3"/>
      <c r="BA48" s="3"/>
      <c r="BB48" s="3"/>
      <c r="BC48" s="3"/>
      <c r="BD48" s="9"/>
      <c r="BE48" s="3"/>
      <c r="BF48" s="3"/>
      <c r="BG48" s="3"/>
      <c r="BH48" s="3"/>
      <c r="BI48" s="3"/>
      <c r="BJ48" s="3"/>
      <c r="BK48" s="3"/>
      <c r="BL48" s="3"/>
      <c r="BM48" s="3"/>
      <c r="BN48" s="3"/>
      <c r="BO48" s="3"/>
      <c r="BP48" s="6"/>
      <c r="BQ48" s="3"/>
      <c r="BR48" s="3"/>
      <c r="BS48" s="3"/>
      <c r="BT48" s="3"/>
    </row>
    <row r="49" spans="1:72" ht="102" customHeight="1" x14ac:dyDescent="0.25">
      <c r="A49" s="3">
        <v>48</v>
      </c>
      <c r="B49" s="4" t="s">
        <v>526</v>
      </c>
      <c r="C49" s="4" t="s">
        <v>547</v>
      </c>
      <c r="D49" s="4" t="s">
        <v>548</v>
      </c>
      <c r="E49" s="4" t="s">
        <v>549</v>
      </c>
      <c r="F49" s="4" t="s">
        <v>550</v>
      </c>
      <c r="G49" s="4" t="s">
        <v>596</v>
      </c>
      <c r="H49" s="4" t="s">
        <v>597</v>
      </c>
      <c r="I49" s="4" t="s">
        <v>598</v>
      </c>
      <c r="J49" s="4" t="s">
        <v>599</v>
      </c>
      <c r="K49" s="4" t="s">
        <v>600</v>
      </c>
      <c r="L49" s="4" t="s">
        <v>601</v>
      </c>
      <c r="M49" s="4" t="s">
        <v>602</v>
      </c>
      <c r="N49" s="4"/>
      <c r="O49" s="4"/>
      <c r="P49" s="4"/>
      <c r="Q49" s="4"/>
      <c r="R49" s="4"/>
      <c r="S49" s="4" t="s">
        <v>83</v>
      </c>
      <c r="T49" s="4" t="s">
        <v>407</v>
      </c>
      <c r="U49" s="4" t="s">
        <v>603</v>
      </c>
      <c r="V49" s="5">
        <v>6</v>
      </c>
      <c r="W49" s="4">
        <v>9</v>
      </c>
      <c r="X49" s="4" t="s">
        <v>219</v>
      </c>
      <c r="Y49" s="13">
        <v>1.1599999999999999</v>
      </c>
      <c r="Z49" s="12">
        <v>9</v>
      </c>
      <c r="AA49" s="3"/>
      <c r="AB49" s="7"/>
      <c r="AC49" s="7"/>
      <c r="AD49" s="6"/>
      <c r="AE49" s="6"/>
      <c r="AF49" s="6">
        <f>Y49/Z49</f>
        <v>0.12888888888888889</v>
      </c>
      <c r="AG49" s="10" t="s">
        <v>604</v>
      </c>
      <c r="AH49" s="10" t="s">
        <v>605</v>
      </c>
      <c r="AI49" s="10"/>
      <c r="AJ49" s="10" t="s">
        <v>606</v>
      </c>
      <c r="AK49" s="3">
        <v>2.52</v>
      </c>
      <c r="AL49" s="3">
        <v>9</v>
      </c>
      <c r="AM49" s="3"/>
      <c r="AN49" s="3"/>
      <c r="AO49" s="3"/>
      <c r="AP49" s="3"/>
      <c r="AQ49" s="3"/>
      <c r="AR49" s="6">
        <f>AK49/AL49</f>
        <v>0.28000000000000003</v>
      </c>
      <c r="AS49" s="3" t="s">
        <v>607</v>
      </c>
      <c r="AT49" s="3" t="s">
        <v>608</v>
      </c>
      <c r="AU49" s="3"/>
      <c r="AV49" s="10" t="s">
        <v>606</v>
      </c>
      <c r="AW49" s="3">
        <v>0.43</v>
      </c>
      <c r="AX49" s="3">
        <v>9</v>
      </c>
      <c r="AY49" s="3"/>
      <c r="AZ49" s="3"/>
      <c r="BA49" s="3"/>
      <c r="BB49" s="3"/>
      <c r="BC49" s="3"/>
      <c r="BD49" s="9">
        <f>AW49/AX49</f>
        <v>4.777777777777778E-2</v>
      </c>
      <c r="BE49" s="3" t="s">
        <v>609</v>
      </c>
      <c r="BF49" s="3" t="s">
        <v>610</v>
      </c>
      <c r="BH49" s="10" t="s">
        <v>606</v>
      </c>
      <c r="BI49" s="10">
        <v>0.57999999999999996</v>
      </c>
      <c r="BJ49" s="10">
        <v>9</v>
      </c>
      <c r="BK49" s="10"/>
      <c r="BL49" s="10"/>
      <c r="BM49" s="10"/>
      <c r="BN49" s="10"/>
      <c r="BO49" s="10"/>
      <c r="BP49" s="12">
        <f>BI49/BJ49</f>
        <v>6.4444444444444443E-2</v>
      </c>
      <c r="BQ49" s="10" t="s">
        <v>611</v>
      </c>
      <c r="BR49" s="10" t="s">
        <v>612</v>
      </c>
      <c r="BS49" s="10" t="s">
        <v>613</v>
      </c>
      <c r="BT49" s="10"/>
    </row>
    <row r="50" spans="1:72" ht="22.5" customHeight="1" x14ac:dyDescent="0.25">
      <c r="A50" s="3">
        <v>49</v>
      </c>
      <c r="B50" s="4" t="s">
        <v>526</v>
      </c>
      <c r="C50" s="4"/>
      <c r="D50" s="4" t="s">
        <v>438</v>
      </c>
      <c r="E50" s="4"/>
      <c r="F50" s="4"/>
      <c r="G50" s="4" t="s">
        <v>614</v>
      </c>
      <c r="H50" s="4" t="s">
        <v>615</v>
      </c>
      <c r="I50" s="4" t="s">
        <v>616</v>
      </c>
      <c r="J50" s="4"/>
      <c r="K50" s="4" t="s">
        <v>530</v>
      </c>
      <c r="L50" s="4" t="s">
        <v>617</v>
      </c>
      <c r="M50" s="4"/>
      <c r="N50" s="4"/>
      <c r="O50" s="4"/>
      <c r="P50" s="4"/>
      <c r="Q50" s="4"/>
      <c r="R50" s="4"/>
      <c r="S50" s="4" t="s">
        <v>83</v>
      </c>
      <c r="T50" s="4" t="s">
        <v>407</v>
      </c>
      <c r="U50" s="4"/>
      <c r="V50" s="5"/>
      <c r="W50" s="4"/>
      <c r="X50" s="4" t="s">
        <v>140</v>
      </c>
      <c r="Y50" s="4"/>
      <c r="Z50" s="6"/>
      <c r="AA50" s="3"/>
      <c r="AB50" s="7"/>
      <c r="AC50" s="7"/>
      <c r="AD50" s="6"/>
      <c r="AE50" s="6"/>
      <c r="AF50" s="6"/>
      <c r="AG50" s="3"/>
      <c r="AH50" s="3"/>
      <c r="AI50" s="3"/>
      <c r="AJ50" s="3"/>
      <c r="AK50" s="3"/>
      <c r="AL50" s="3"/>
      <c r="AM50" s="3"/>
      <c r="AN50" s="3"/>
      <c r="AO50" s="3"/>
      <c r="AP50" s="3"/>
      <c r="AQ50" s="3"/>
      <c r="AR50" s="3"/>
      <c r="AS50" s="3"/>
      <c r="AT50" s="3"/>
      <c r="AU50" s="3"/>
      <c r="AV50" s="3"/>
      <c r="AW50" s="3"/>
      <c r="AX50" s="3"/>
      <c r="AY50" s="3"/>
      <c r="AZ50" s="3"/>
      <c r="BA50" s="3"/>
      <c r="BB50" s="3"/>
      <c r="BC50" s="3"/>
      <c r="BD50" s="9"/>
      <c r="BE50" s="3"/>
      <c r="BF50" s="3"/>
      <c r="BG50" s="3"/>
      <c r="BH50" s="3"/>
      <c r="BI50" s="3"/>
      <c r="BJ50" s="3"/>
      <c r="BK50" s="3"/>
      <c r="BL50" s="3"/>
      <c r="BM50" s="3"/>
      <c r="BN50" s="3"/>
      <c r="BO50" s="3"/>
      <c r="BP50" s="6"/>
      <c r="BQ50" s="3"/>
      <c r="BR50" s="3"/>
      <c r="BS50" s="3"/>
      <c r="BT50" s="3"/>
    </row>
    <row r="51" spans="1:72" ht="22.5" customHeight="1" x14ac:dyDescent="0.25">
      <c r="A51" s="3">
        <v>50</v>
      </c>
      <c r="B51" s="4" t="s">
        <v>526</v>
      </c>
      <c r="C51" s="4"/>
      <c r="D51" s="4" t="s">
        <v>618</v>
      </c>
      <c r="E51" s="4"/>
      <c r="F51" s="4"/>
      <c r="G51" s="4" t="s">
        <v>619</v>
      </c>
      <c r="H51" s="4" t="s">
        <v>620</v>
      </c>
      <c r="I51" s="4" t="s">
        <v>621</v>
      </c>
      <c r="J51" s="4"/>
      <c r="K51" s="4" t="s">
        <v>622</v>
      </c>
      <c r="L51" s="4" t="s">
        <v>623</v>
      </c>
      <c r="M51" s="4" t="s">
        <v>624</v>
      </c>
      <c r="N51" s="4"/>
      <c r="O51" s="4"/>
      <c r="P51" s="4"/>
      <c r="Q51" s="4"/>
      <c r="R51" s="4"/>
      <c r="S51" s="4" t="s">
        <v>83</v>
      </c>
      <c r="T51" s="4" t="s">
        <v>84</v>
      </c>
      <c r="U51" s="4"/>
      <c r="V51" s="5"/>
      <c r="W51" s="4"/>
      <c r="X51" s="4" t="s">
        <v>140</v>
      </c>
      <c r="Y51" s="4"/>
      <c r="Z51" s="6"/>
      <c r="AA51" s="3"/>
      <c r="AB51" s="7"/>
      <c r="AC51" s="7"/>
      <c r="AD51" s="6"/>
      <c r="AE51" s="6"/>
      <c r="AF51" s="6"/>
      <c r="AG51" s="3"/>
      <c r="AH51" s="3"/>
      <c r="AI51" s="3"/>
      <c r="AJ51" s="3"/>
      <c r="AK51" s="3"/>
      <c r="AL51" s="3"/>
      <c r="AM51" s="3"/>
      <c r="AN51" s="3"/>
      <c r="AO51" s="3"/>
      <c r="AP51" s="3"/>
      <c r="AQ51" s="3"/>
      <c r="AR51" s="3"/>
      <c r="AS51" s="3"/>
      <c r="AT51" s="3"/>
      <c r="AU51" s="3"/>
      <c r="AV51" s="3"/>
      <c r="AW51" s="3"/>
      <c r="AX51" s="3"/>
      <c r="AY51" s="3"/>
      <c r="AZ51" s="3"/>
      <c r="BA51" s="3"/>
      <c r="BB51" s="3"/>
      <c r="BC51" s="3"/>
      <c r="BD51" s="9"/>
      <c r="BE51" s="3"/>
      <c r="BF51" s="3"/>
      <c r="BG51" s="3"/>
      <c r="BH51" s="3"/>
      <c r="BI51" s="3"/>
      <c r="BJ51" s="3"/>
      <c r="BK51" s="3"/>
      <c r="BL51" s="3"/>
      <c r="BM51" s="3"/>
      <c r="BN51" s="3"/>
      <c r="BO51" s="3"/>
      <c r="BP51" s="6"/>
      <c r="BQ51" s="3"/>
      <c r="BR51" s="3"/>
      <c r="BS51" s="3"/>
      <c r="BT51" s="3"/>
    </row>
    <row r="52" spans="1:72" ht="22.5" customHeight="1" x14ac:dyDescent="0.25">
      <c r="A52" s="3">
        <v>51</v>
      </c>
      <c r="B52" s="4" t="s">
        <v>526</v>
      </c>
      <c r="C52" s="4"/>
      <c r="D52" s="4" t="s">
        <v>618</v>
      </c>
      <c r="E52" s="4"/>
      <c r="F52" s="4"/>
      <c r="G52" s="4" t="s">
        <v>625</v>
      </c>
      <c r="H52" s="4" t="s">
        <v>626</v>
      </c>
      <c r="I52" s="4" t="s">
        <v>627</v>
      </c>
      <c r="J52" s="4"/>
      <c r="K52" s="4" t="s">
        <v>530</v>
      </c>
      <c r="L52" s="4" t="s">
        <v>628</v>
      </c>
      <c r="M52" s="4"/>
      <c r="N52" s="4"/>
      <c r="O52" s="4"/>
      <c r="P52" s="4"/>
      <c r="Q52" s="4"/>
      <c r="R52" s="4"/>
      <c r="S52" s="4" t="s">
        <v>83</v>
      </c>
      <c r="T52" s="4" t="s">
        <v>407</v>
      </c>
      <c r="U52" s="4"/>
      <c r="V52" s="5"/>
      <c r="W52" s="4"/>
      <c r="X52" s="13" t="s">
        <v>140</v>
      </c>
      <c r="Y52" s="4"/>
      <c r="Z52" s="6"/>
      <c r="AA52" s="3"/>
      <c r="AB52" s="7"/>
      <c r="AC52" s="7"/>
      <c r="AD52" s="6"/>
      <c r="AE52" s="6"/>
      <c r="AF52" s="6"/>
      <c r="AG52" s="3"/>
      <c r="AH52" s="3"/>
      <c r="AI52" s="3"/>
      <c r="AJ52" s="3"/>
      <c r="AK52" s="3"/>
      <c r="AL52" s="3"/>
      <c r="AM52" s="3"/>
      <c r="AN52" s="3"/>
      <c r="AO52" s="3"/>
      <c r="AP52" s="3"/>
      <c r="AQ52" s="3"/>
      <c r="AR52" s="3"/>
      <c r="AS52" s="3"/>
      <c r="AT52" s="3"/>
      <c r="AU52" s="3"/>
      <c r="AV52" s="3"/>
      <c r="AW52" s="3"/>
      <c r="AX52" s="3"/>
      <c r="AY52" s="3"/>
      <c r="AZ52" s="3"/>
      <c r="BA52" s="3"/>
      <c r="BB52" s="3"/>
      <c r="BC52" s="3"/>
      <c r="BD52" s="9"/>
      <c r="BE52" s="3"/>
      <c r="BF52" s="3"/>
      <c r="BG52" s="3"/>
      <c r="BH52" s="3"/>
      <c r="BI52" s="3"/>
      <c r="BJ52" s="3"/>
      <c r="BK52" s="3"/>
      <c r="BL52" s="3"/>
      <c r="BM52" s="3"/>
      <c r="BN52" s="3"/>
      <c r="BO52" s="3"/>
      <c r="BP52" s="6"/>
      <c r="BQ52" s="3"/>
      <c r="BR52" s="3"/>
      <c r="BS52" s="3"/>
      <c r="BT52" s="3"/>
    </row>
    <row r="53" spans="1:72" ht="22.5" customHeight="1" x14ac:dyDescent="0.25">
      <c r="A53" s="3">
        <v>52</v>
      </c>
      <c r="B53" s="4" t="s">
        <v>526</v>
      </c>
      <c r="C53" s="4"/>
      <c r="D53" s="4" t="s">
        <v>618</v>
      </c>
      <c r="E53" s="4"/>
      <c r="F53" s="4"/>
      <c r="G53" s="4" t="s">
        <v>629</v>
      </c>
      <c r="H53" s="4" t="s">
        <v>630</v>
      </c>
      <c r="I53" s="4" t="s">
        <v>631</v>
      </c>
      <c r="J53" s="4"/>
      <c r="K53" s="4" t="s">
        <v>530</v>
      </c>
      <c r="L53" s="4" t="s">
        <v>632</v>
      </c>
      <c r="M53" s="4"/>
      <c r="N53" s="4"/>
      <c r="O53" s="4"/>
      <c r="P53" s="4"/>
      <c r="Q53" s="4"/>
      <c r="R53" s="4"/>
      <c r="S53" s="4" t="s">
        <v>83</v>
      </c>
      <c r="T53" s="4" t="s">
        <v>84</v>
      </c>
      <c r="U53" s="4"/>
      <c r="V53" s="5"/>
      <c r="W53" s="4"/>
      <c r="X53" s="13" t="s">
        <v>140</v>
      </c>
      <c r="Y53" s="4"/>
      <c r="Z53" s="6"/>
      <c r="AA53" s="3"/>
      <c r="AB53" s="7"/>
      <c r="AC53" s="7"/>
      <c r="AD53" s="6"/>
      <c r="AE53" s="6"/>
      <c r="AF53" s="6"/>
      <c r="AG53" s="3"/>
      <c r="AH53" s="3"/>
      <c r="AI53" s="3"/>
      <c r="AJ53" s="3"/>
      <c r="AK53" s="3"/>
      <c r="AL53" s="3"/>
      <c r="AM53" s="3"/>
      <c r="AN53" s="3"/>
      <c r="AO53" s="3"/>
      <c r="AP53" s="3"/>
      <c r="AQ53" s="3"/>
      <c r="AR53" s="3"/>
      <c r="AS53" s="3"/>
      <c r="AT53" s="3"/>
      <c r="AU53" s="3"/>
      <c r="AV53" s="3"/>
      <c r="AW53" s="3"/>
      <c r="AX53" s="3"/>
      <c r="AY53" s="3"/>
      <c r="AZ53" s="3"/>
      <c r="BA53" s="3"/>
      <c r="BB53" s="3"/>
      <c r="BC53" s="3"/>
      <c r="BD53" s="9"/>
      <c r="BE53" s="3"/>
      <c r="BF53" s="3"/>
      <c r="BG53" s="3"/>
      <c r="BH53" s="3"/>
      <c r="BI53" s="3"/>
      <c r="BJ53" s="3"/>
      <c r="BK53" s="3"/>
      <c r="BL53" s="3"/>
      <c r="BM53" s="3"/>
      <c r="BN53" s="3"/>
      <c r="BO53" s="3"/>
      <c r="BP53" s="6"/>
      <c r="BQ53" s="3"/>
      <c r="BR53" s="3"/>
      <c r="BS53" s="3"/>
      <c r="BT53" s="3"/>
    </row>
    <row r="54" spans="1:72" ht="22.5" customHeight="1" x14ac:dyDescent="0.25">
      <c r="A54" s="3">
        <v>53</v>
      </c>
      <c r="B54" s="4" t="s">
        <v>526</v>
      </c>
      <c r="C54" s="4"/>
      <c r="D54" s="4" t="s">
        <v>438</v>
      </c>
      <c r="E54" s="4"/>
      <c r="F54" s="4"/>
      <c r="G54" s="4" t="s">
        <v>633</v>
      </c>
      <c r="H54" s="4" t="s">
        <v>634</v>
      </c>
      <c r="I54" s="4" t="s">
        <v>635</v>
      </c>
      <c r="J54" s="4"/>
      <c r="K54" s="4" t="s">
        <v>530</v>
      </c>
      <c r="L54" s="4" t="s">
        <v>531</v>
      </c>
      <c r="M54" s="4" t="s">
        <v>532</v>
      </c>
      <c r="N54" s="4" t="s">
        <v>533</v>
      </c>
      <c r="O54" s="4"/>
      <c r="P54" s="4"/>
      <c r="Q54" s="4"/>
      <c r="R54" s="4"/>
      <c r="S54" s="4" t="s">
        <v>83</v>
      </c>
      <c r="T54" s="4" t="s">
        <v>407</v>
      </c>
      <c r="U54" s="4"/>
      <c r="V54" s="5"/>
      <c r="W54" s="4"/>
      <c r="X54" s="13" t="s">
        <v>140</v>
      </c>
      <c r="Y54" s="4"/>
      <c r="Z54" s="6"/>
      <c r="AA54" s="3"/>
      <c r="AB54" s="7"/>
      <c r="AC54" s="7"/>
      <c r="AD54" s="6"/>
      <c r="AE54" s="6"/>
      <c r="AF54" s="6"/>
      <c r="AG54" s="3"/>
      <c r="AH54" s="3"/>
      <c r="AI54" s="3"/>
      <c r="AJ54" s="3"/>
      <c r="AK54" s="3"/>
      <c r="AL54" s="3"/>
      <c r="AM54" s="3"/>
      <c r="AN54" s="3"/>
      <c r="AO54" s="3"/>
      <c r="AP54" s="3"/>
      <c r="AQ54" s="3"/>
      <c r="AR54" s="3"/>
      <c r="AS54" s="3"/>
      <c r="AT54" s="3"/>
      <c r="AU54" s="3"/>
      <c r="AV54" s="3"/>
      <c r="AW54" s="3"/>
      <c r="AX54" s="3"/>
      <c r="AY54" s="3"/>
      <c r="AZ54" s="3"/>
      <c r="BA54" s="3"/>
      <c r="BB54" s="3"/>
      <c r="BC54" s="3"/>
      <c r="BD54" s="9"/>
      <c r="BE54" s="3"/>
      <c r="BF54" s="3"/>
      <c r="BG54" s="3"/>
      <c r="BH54" s="3"/>
      <c r="BI54" s="3"/>
      <c r="BJ54" s="3"/>
      <c r="BK54" s="3"/>
      <c r="BL54" s="3"/>
      <c r="BM54" s="3"/>
      <c r="BN54" s="3"/>
      <c r="BO54" s="3"/>
      <c r="BP54" s="6"/>
      <c r="BQ54" s="3"/>
      <c r="BR54" s="3"/>
      <c r="BS54" s="3"/>
      <c r="BT54" s="3"/>
    </row>
    <row r="55" spans="1:72" ht="22.5" customHeight="1" x14ac:dyDescent="0.25">
      <c r="A55" s="3">
        <v>54</v>
      </c>
      <c r="B55" s="4" t="s">
        <v>526</v>
      </c>
      <c r="C55" s="4"/>
      <c r="D55" s="4" t="s">
        <v>618</v>
      </c>
      <c r="E55" s="4"/>
      <c r="F55" s="4"/>
      <c r="G55" s="4" t="s">
        <v>636</v>
      </c>
      <c r="H55" s="4" t="s">
        <v>637</v>
      </c>
      <c r="I55" s="4" t="s">
        <v>638</v>
      </c>
      <c r="J55" s="4"/>
      <c r="K55" s="4" t="s">
        <v>639</v>
      </c>
      <c r="L55" s="4" t="s">
        <v>640</v>
      </c>
      <c r="M55" s="4"/>
      <c r="N55" s="4"/>
      <c r="O55" s="4"/>
      <c r="P55" s="4"/>
      <c r="Q55" s="4"/>
      <c r="R55" s="4"/>
      <c r="S55" s="4" t="s">
        <v>534</v>
      </c>
      <c r="T55" s="4" t="s">
        <v>407</v>
      </c>
      <c r="U55" s="4"/>
      <c r="V55" s="5"/>
      <c r="W55" s="4"/>
      <c r="X55" s="13" t="s">
        <v>140</v>
      </c>
      <c r="Y55" s="4"/>
      <c r="Z55" s="6"/>
      <c r="AA55" s="3"/>
      <c r="AB55" s="7"/>
      <c r="AC55" s="7"/>
      <c r="AD55" s="6"/>
      <c r="AE55" s="6"/>
      <c r="AF55" s="6"/>
      <c r="AG55" s="3"/>
      <c r="AH55" s="3"/>
      <c r="AI55" s="3"/>
      <c r="AJ55" s="3"/>
      <c r="AK55" s="3"/>
      <c r="AL55" s="3"/>
      <c r="AM55" s="3"/>
      <c r="AN55" s="3"/>
      <c r="AO55" s="3"/>
      <c r="AP55" s="3"/>
      <c r="AQ55" s="3"/>
      <c r="AR55" s="3"/>
      <c r="AS55" s="3"/>
      <c r="AT55" s="3"/>
      <c r="AU55" s="3"/>
      <c r="AV55" s="3"/>
      <c r="AW55" s="3"/>
      <c r="AX55" s="3"/>
      <c r="AY55" s="3"/>
      <c r="AZ55" s="3"/>
      <c r="BA55" s="3"/>
      <c r="BB55" s="3"/>
      <c r="BC55" s="3"/>
      <c r="BD55" s="9"/>
      <c r="BE55" s="3"/>
      <c r="BF55" s="3"/>
      <c r="BG55" s="3"/>
      <c r="BH55" s="3"/>
      <c r="BI55" s="3"/>
      <c r="BJ55" s="3"/>
      <c r="BK55" s="3"/>
      <c r="BL55" s="3"/>
      <c r="BM55" s="3"/>
      <c r="BN55" s="3"/>
      <c r="BO55" s="3"/>
      <c r="BP55" s="6"/>
      <c r="BQ55" s="3"/>
      <c r="BR55" s="3"/>
      <c r="BS55" s="3"/>
      <c r="BT55" s="3"/>
    </row>
    <row r="56" spans="1:72" ht="74.25" customHeight="1" x14ac:dyDescent="0.25">
      <c r="A56" s="3">
        <v>55</v>
      </c>
      <c r="B56" s="4" t="s">
        <v>641</v>
      </c>
      <c r="C56" s="4"/>
      <c r="D56" s="4" t="s">
        <v>438</v>
      </c>
      <c r="E56" s="4" t="s">
        <v>642</v>
      </c>
      <c r="F56" s="4"/>
      <c r="G56" s="4" t="s">
        <v>643</v>
      </c>
      <c r="H56" s="4" t="s">
        <v>644</v>
      </c>
      <c r="I56" s="4" t="s">
        <v>645</v>
      </c>
      <c r="J56" s="4"/>
      <c r="K56" s="4"/>
      <c r="L56" s="4"/>
      <c r="M56" s="4"/>
      <c r="N56" s="4"/>
      <c r="O56" s="4"/>
      <c r="P56" s="4"/>
      <c r="Q56" s="4"/>
      <c r="R56" s="4"/>
      <c r="S56" s="4"/>
      <c r="T56" s="4"/>
      <c r="U56" s="4"/>
      <c r="V56" s="5"/>
      <c r="W56" s="4"/>
      <c r="X56" s="4" t="s">
        <v>140</v>
      </c>
      <c r="Y56" s="4"/>
      <c r="Z56" s="6"/>
      <c r="AA56" s="3"/>
      <c r="AB56" s="7"/>
      <c r="AC56" s="7"/>
      <c r="AD56" s="6"/>
      <c r="AE56" s="6"/>
      <c r="AF56" s="6"/>
      <c r="AG56" s="3"/>
      <c r="AH56" s="3"/>
      <c r="AI56" s="3"/>
      <c r="AJ56" s="3"/>
      <c r="AK56" s="3"/>
      <c r="AL56" s="3"/>
      <c r="AM56" s="3"/>
      <c r="AN56" s="3"/>
      <c r="AO56" s="3"/>
      <c r="AP56" s="3"/>
      <c r="AQ56" s="3"/>
      <c r="AR56" s="3"/>
      <c r="AS56" s="3"/>
      <c r="AT56" s="3"/>
      <c r="AU56" s="3"/>
      <c r="AV56" s="3"/>
      <c r="AW56" s="3"/>
      <c r="AX56" s="3"/>
      <c r="AY56" s="3"/>
      <c r="AZ56" s="3"/>
      <c r="BA56" s="3"/>
      <c r="BB56" s="3"/>
      <c r="BC56" s="3"/>
      <c r="BD56" s="9"/>
      <c r="BE56" s="3"/>
      <c r="BF56" s="3"/>
      <c r="BG56" s="3"/>
      <c r="BH56" s="3"/>
      <c r="BI56" s="3"/>
      <c r="BJ56" s="3"/>
      <c r="BK56" s="3"/>
      <c r="BL56" s="3"/>
      <c r="BM56" s="3"/>
      <c r="BN56" s="3"/>
      <c r="BO56" s="3"/>
      <c r="BP56" s="6"/>
      <c r="BQ56" s="3"/>
      <c r="BR56" s="3"/>
      <c r="BS56" s="3"/>
      <c r="BT56" s="3"/>
    </row>
    <row r="57" spans="1:72" ht="74.25" customHeight="1" x14ac:dyDescent="0.25">
      <c r="A57" s="3">
        <v>56</v>
      </c>
      <c r="B57" s="4" t="s">
        <v>641</v>
      </c>
      <c r="C57" s="4"/>
      <c r="D57" s="4" t="s">
        <v>438</v>
      </c>
      <c r="E57" s="4" t="s">
        <v>642</v>
      </c>
      <c r="F57" s="4"/>
      <c r="G57" s="4" t="s">
        <v>646</v>
      </c>
      <c r="H57" s="4" t="s">
        <v>647</v>
      </c>
      <c r="I57" s="4" t="s">
        <v>648</v>
      </c>
      <c r="J57" s="4"/>
      <c r="K57" s="4"/>
      <c r="L57" s="4"/>
      <c r="M57" s="4"/>
      <c r="N57" s="4"/>
      <c r="O57" s="4"/>
      <c r="P57" s="4"/>
      <c r="Q57" s="4"/>
      <c r="R57" s="4"/>
      <c r="S57" s="4"/>
      <c r="T57" s="4"/>
      <c r="U57" s="4"/>
      <c r="V57" s="5"/>
      <c r="W57" s="4"/>
      <c r="X57" s="4" t="s">
        <v>140</v>
      </c>
      <c r="Y57" s="4"/>
      <c r="Z57" s="6"/>
      <c r="AA57" s="3"/>
      <c r="AB57" s="7"/>
      <c r="AC57" s="7"/>
      <c r="AD57" s="6"/>
      <c r="AE57" s="6"/>
      <c r="AF57" s="6"/>
      <c r="AG57" s="3"/>
      <c r="AH57" s="3"/>
      <c r="AI57" s="3"/>
      <c r="AJ57" s="3"/>
      <c r="AK57" s="3"/>
      <c r="AL57" s="3"/>
      <c r="AM57" s="3"/>
      <c r="AN57" s="3"/>
      <c r="AO57" s="3"/>
      <c r="AP57" s="3"/>
      <c r="AQ57" s="3"/>
      <c r="AR57" s="3"/>
      <c r="AS57" s="3"/>
      <c r="AT57" s="3"/>
      <c r="AU57" s="3"/>
      <c r="AV57" s="3"/>
      <c r="AW57" s="3"/>
      <c r="AX57" s="3"/>
      <c r="AY57" s="3"/>
      <c r="AZ57" s="3"/>
      <c r="BA57" s="3"/>
      <c r="BB57" s="3"/>
      <c r="BC57" s="3"/>
      <c r="BD57" s="9"/>
      <c r="BE57" s="3"/>
      <c r="BF57" s="3"/>
      <c r="BG57" s="3"/>
      <c r="BH57" s="3"/>
      <c r="BI57" s="3"/>
      <c r="BJ57" s="3"/>
      <c r="BK57" s="3"/>
      <c r="BL57" s="3"/>
      <c r="BM57" s="3"/>
      <c r="BN57" s="3"/>
      <c r="BO57" s="3"/>
      <c r="BP57" s="6"/>
      <c r="BQ57" s="3"/>
      <c r="BR57" s="3"/>
      <c r="BS57" s="3"/>
      <c r="BT57" s="3"/>
    </row>
    <row r="58" spans="1:72" ht="74.25" customHeight="1" x14ac:dyDescent="0.25">
      <c r="A58" s="3">
        <v>57</v>
      </c>
      <c r="B58" s="4" t="s">
        <v>641</v>
      </c>
      <c r="C58" s="4"/>
      <c r="D58" s="4" t="s">
        <v>438</v>
      </c>
      <c r="E58" s="4" t="s">
        <v>642</v>
      </c>
      <c r="F58" s="4"/>
      <c r="G58" s="4" t="s">
        <v>649</v>
      </c>
      <c r="H58" s="4" t="s">
        <v>650</v>
      </c>
      <c r="I58" s="4" t="s">
        <v>651</v>
      </c>
      <c r="J58" s="4"/>
      <c r="K58" s="4"/>
      <c r="L58" s="4"/>
      <c r="M58" s="4"/>
      <c r="N58" s="4"/>
      <c r="O58" s="4"/>
      <c r="P58" s="4"/>
      <c r="Q58" s="4"/>
      <c r="R58" s="4"/>
      <c r="S58" s="4"/>
      <c r="T58" s="4"/>
      <c r="U58" s="4"/>
      <c r="V58" s="5"/>
      <c r="W58" s="4"/>
      <c r="X58" s="4" t="s">
        <v>140</v>
      </c>
      <c r="Y58" s="4"/>
      <c r="Z58" s="6"/>
      <c r="AA58" s="3"/>
      <c r="AB58" s="7"/>
      <c r="AC58" s="7"/>
      <c r="AD58" s="6"/>
      <c r="AE58" s="6"/>
      <c r="AF58" s="6"/>
      <c r="AG58" s="3"/>
      <c r="AH58" s="3"/>
      <c r="AI58" s="3"/>
      <c r="AJ58" s="3"/>
      <c r="AK58" s="3"/>
      <c r="AL58" s="3"/>
      <c r="AM58" s="3"/>
      <c r="AN58" s="3"/>
      <c r="AO58" s="3"/>
      <c r="AP58" s="3"/>
      <c r="AQ58" s="3"/>
      <c r="AR58" s="3"/>
      <c r="AS58" s="3"/>
      <c r="AT58" s="3"/>
      <c r="AU58" s="3"/>
      <c r="AV58" s="3"/>
      <c r="AW58" s="3"/>
      <c r="AX58" s="3"/>
      <c r="AY58" s="3"/>
      <c r="AZ58" s="3"/>
      <c r="BA58" s="3"/>
      <c r="BB58" s="3"/>
      <c r="BC58" s="3"/>
      <c r="BD58" s="9"/>
      <c r="BE58" s="3"/>
      <c r="BF58" s="3"/>
      <c r="BG58" s="3"/>
      <c r="BH58" s="3"/>
      <c r="BI58" s="3"/>
      <c r="BJ58" s="3"/>
      <c r="BK58" s="3"/>
      <c r="BL58" s="3"/>
      <c r="BM58" s="3"/>
      <c r="BN58" s="3"/>
      <c r="BO58" s="3"/>
      <c r="BP58" s="6"/>
      <c r="BQ58" s="3"/>
      <c r="BR58" s="3"/>
      <c r="BS58" s="3"/>
      <c r="BT58" s="3"/>
    </row>
    <row r="59" spans="1:72" ht="79.5" customHeight="1" x14ac:dyDescent="0.25">
      <c r="A59" s="3">
        <v>58</v>
      </c>
      <c r="B59" s="4" t="s">
        <v>652</v>
      </c>
      <c r="C59" s="4" t="s">
        <v>653</v>
      </c>
      <c r="D59" s="4" t="s">
        <v>145</v>
      </c>
      <c r="E59" s="4" t="s">
        <v>654</v>
      </c>
      <c r="F59" s="4"/>
      <c r="G59" s="4" t="s">
        <v>655</v>
      </c>
      <c r="H59" s="4" t="s">
        <v>656</v>
      </c>
      <c r="I59" s="4" t="s">
        <v>657</v>
      </c>
      <c r="J59" s="4"/>
      <c r="K59" s="4"/>
      <c r="L59" s="4" t="s">
        <v>658</v>
      </c>
      <c r="M59" s="4" t="s">
        <v>659</v>
      </c>
      <c r="N59" s="4"/>
      <c r="O59" s="4"/>
      <c r="P59" s="4"/>
      <c r="Q59" s="4"/>
      <c r="R59" s="4"/>
      <c r="S59" s="4" t="s">
        <v>83</v>
      </c>
      <c r="T59" s="4" t="s">
        <v>84</v>
      </c>
      <c r="U59" s="4" t="s">
        <v>660</v>
      </c>
      <c r="V59" s="5">
        <v>4</v>
      </c>
      <c r="W59" s="4"/>
      <c r="X59" s="4" t="s">
        <v>86</v>
      </c>
      <c r="Y59" s="4">
        <v>3</v>
      </c>
      <c r="Z59" s="6">
        <v>3</v>
      </c>
      <c r="AA59" s="3"/>
      <c r="AB59" s="7"/>
      <c r="AC59" s="7"/>
      <c r="AD59" s="6"/>
      <c r="AE59" s="6"/>
      <c r="AF59" s="6">
        <f>Y59/Z59</f>
        <v>1</v>
      </c>
      <c r="AG59" s="3" t="s">
        <v>661</v>
      </c>
      <c r="AH59" s="3" t="s">
        <v>662</v>
      </c>
      <c r="AI59" s="3"/>
      <c r="AJ59" s="3"/>
      <c r="AK59" s="3">
        <v>2</v>
      </c>
      <c r="AL59" s="3">
        <v>2</v>
      </c>
      <c r="AM59" s="3"/>
      <c r="AN59" s="3"/>
      <c r="AO59" s="3"/>
      <c r="AP59" s="3"/>
      <c r="AQ59" s="3"/>
      <c r="AR59" s="6">
        <f>AK59/AL59</f>
        <v>1</v>
      </c>
      <c r="AS59" s="3" t="s">
        <v>663</v>
      </c>
      <c r="AT59" s="3" t="s">
        <v>664</v>
      </c>
      <c r="AU59" s="3"/>
      <c r="AV59" s="3"/>
      <c r="AW59" s="3">
        <v>0</v>
      </c>
      <c r="AX59" s="3">
        <v>0</v>
      </c>
      <c r="AY59" s="3"/>
      <c r="AZ59" s="3"/>
      <c r="BA59" s="3"/>
      <c r="BB59" s="3"/>
      <c r="BC59" s="3"/>
      <c r="BD59" s="9" t="s">
        <v>665</v>
      </c>
      <c r="BE59" s="3" t="s">
        <v>666</v>
      </c>
      <c r="BF59" s="3" t="s">
        <v>667</v>
      </c>
      <c r="BG59" s="3"/>
      <c r="BH59" s="3"/>
      <c r="BI59" s="3"/>
      <c r="BJ59" s="3"/>
      <c r="BK59" s="3"/>
      <c r="BL59" s="3"/>
      <c r="BM59" s="3"/>
      <c r="BN59" s="3"/>
      <c r="BO59" s="3"/>
      <c r="BP59" s="6"/>
      <c r="BQ59" s="3"/>
      <c r="BR59" s="3"/>
      <c r="BS59" s="3"/>
      <c r="BT59" s="3"/>
    </row>
    <row r="60" spans="1:72" ht="119.25" customHeight="1" x14ac:dyDescent="0.25">
      <c r="A60" s="3">
        <v>59</v>
      </c>
      <c r="B60" s="4" t="s">
        <v>652</v>
      </c>
      <c r="C60" s="4" t="s">
        <v>653</v>
      </c>
      <c r="D60" s="4" t="s">
        <v>145</v>
      </c>
      <c r="E60" s="4" t="s">
        <v>668</v>
      </c>
      <c r="F60" s="4"/>
      <c r="G60" s="4" t="s">
        <v>669</v>
      </c>
      <c r="H60" s="4" t="s">
        <v>670</v>
      </c>
      <c r="I60" s="4" t="s">
        <v>671</v>
      </c>
      <c r="J60" s="4"/>
      <c r="K60" s="4"/>
      <c r="L60" s="4" t="s">
        <v>672</v>
      </c>
      <c r="M60" s="4" t="s">
        <v>673</v>
      </c>
      <c r="N60" s="4"/>
      <c r="O60" s="4"/>
      <c r="P60" s="4"/>
      <c r="Q60" s="4"/>
      <c r="R60" s="4"/>
      <c r="S60" s="4" t="s">
        <v>83</v>
      </c>
      <c r="T60" s="4" t="s">
        <v>84</v>
      </c>
      <c r="U60" s="4" t="s">
        <v>674</v>
      </c>
      <c r="V60" s="5"/>
      <c r="W60" s="4"/>
      <c r="X60" s="4" t="s">
        <v>86</v>
      </c>
      <c r="Y60" s="4">
        <v>3</v>
      </c>
      <c r="Z60" s="6">
        <v>0</v>
      </c>
      <c r="AA60" s="3"/>
      <c r="AB60" s="7"/>
      <c r="AC60" s="7"/>
      <c r="AD60" s="6"/>
      <c r="AE60" s="6"/>
      <c r="AF60" s="6">
        <f>SUM(Y60:Z60)</f>
        <v>3</v>
      </c>
      <c r="AG60" s="3" t="s">
        <v>675</v>
      </c>
      <c r="AH60" s="3" t="s">
        <v>676</v>
      </c>
      <c r="AI60" s="3"/>
      <c r="AJ60" s="3"/>
      <c r="AK60" s="3">
        <v>3</v>
      </c>
      <c r="AL60" s="3">
        <v>5</v>
      </c>
      <c r="AM60" s="3"/>
      <c r="AN60" s="3"/>
      <c r="AO60" s="3"/>
      <c r="AP60" s="3"/>
      <c r="AQ60" s="3"/>
      <c r="AR60" s="6">
        <f>SUM(AK60:AL60)</f>
        <v>8</v>
      </c>
      <c r="AS60" s="3" t="s">
        <v>677</v>
      </c>
      <c r="AT60" s="3" t="s">
        <v>678</v>
      </c>
      <c r="AU60" s="3"/>
      <c r="AV60" s="3"/>
      <c r="AW60" s="3">
        <v>0</v>
      </c>
      <c r="AX60" s="3">
        <v>3</v>
      </c>
      <c r="AY60" s="3"/>
      <c r="AZ60" s="3"/>
      <c r="BA60" s="3"/>
      <c r="BB60" s="3"/>
      <c r="BC60" s="3"/>
      <c r="BD60" s="9">
        <f>SUM(AW60:AX60)</f>
        <v>3</v>
      </c>
      <c r="BE60" s="3" t="s">
        <v>679</v>
      </c>
      <c r="BF60" s="3" t="s">
        <v>680</v>
      </c>
      <c r="BG60" s="3"/>
      <c r="BH60" s="3"/>
      <c r="BI60" s="3"/>
      <c r="BJ60" s="3"/>
      <c r="BK60" s="3"/>
      <c r="BL60" s="3"/>
      <c r="BM60" s="3"/>
      <c r="BN60" s="3"/>
      <c r="BO60" s="3"/>
      <c r="BP60" s="6"/>
      <c r="BQ60" s="3"/>
      <c r="BR60" s="3"/>
      <c r="BS60" s="3"/>
      <c r="BT60" s="3"/>
    </row>
    <row r="61" spans="1:72" ht="22.5" customHeight="1" x14ac:dyDescent="0.25">
      <c r="A61" s="3">
        <v>60</v>
      </c>
      <c r="B61" s="4" t="s">
        <v>641</v>
      </c>
      <c r="C61" s="4"/>
      <c r="D61" s="4" t="s">
        <v>438</v>
      </c>
      <c r="E61" s="4" t="s">
        <v>681</v>
      </c>
      <c r="F61" s="4"/>
      <c r="G61" s="4" t="s">
        <v>682</v>
      </c>
      <c r="H61" s="4" t="s">
        <v>683</v>
      </c>
      <c r="I61" s="4" t="s">
        <v>684</v>
      </c>
      <c r="J61" s="4"/>
      <c r="K61" s="4"/>
      <c r="L61" s="4"/>
      <c r="M61" s="4"/>
      <c r="N61" s="4"/>
      <c r="O61" s="4"/>
      <c r="P61" s="4"/>
      <c r="Q61" s="4"/>
      <c r="R61" s="4"/>
      <c r="S61" s="4"/>
      <c r="T61" s="4"/>
      <c r="U61" s="4"/>
      <c r="V61" s="5"/>
      <c r="W61" s="4"/>
      <c r="X61" s="4" t="s">
        <v>140</v>
      </c>
      <c r="Y61" s="4"/>
      <c r="Z61" s="6"/>
      <c r="AA61" s="3"/>
      <c r="AB61" s="7"/>
      <c r="AC61" s="7"/>
      <c r="AD61" s="6"/>
      <c r="AE61" s="6"/>
      <c r="AF61" s="6"/>
      <c r="AG61" s="3"/>
      <c r="AH61" s="3"/>
      <c r="AI61" s="3"/>
      <c r="AJ61" s="3"/>
      <c r="AK61" s="3"/>
      <c r="AL61" s="3"/>
      <c r="AM61" s="3"/>
      <c r="AN61" s="3"/>
      <c r="AO61" s="3"/>
      <c r="AP61" s="3"/>
      <c r="AQ61" s="3"/>
      <c r="AR61" s="3"/>
      <c r="AS61" s="3"/>
      <c r="AT61" s="3"/>
      <c r="AU61" s="3"/>
      <c r="AV61" s="3"/>
      <c r="AW61" s="3"/>
      <c r="AX61" s="3"/>
      <c r="AY61" s="3"/>
      <c r="AZ61" s="3"/>
      <c r="BA61" s="3"/>
      <c r="BB61" s="3"/>
      <c r="BC61" s="3"/>
      <c r="BD61" s="9"/>
      <c r="BE61" s="3"/>
      <c r="BF61" s="3"/>
      <c r="BG61" s="3"/>
      <c r="BH61" s="3"/>
      <c r="BI61" s="3"/>
      <c r="BJ61" s="3"/>
      <c r="BK61" s="3"/>
      <c r="BL61" s="3"/>
      <c r="BM61" s="3"/>
      <c r="BN61" s="3"/>
      <c r="BO61" s="3"/>
      <c r="BP61" s="6"/>
      <c r="BQ61" s="3"/>
      <c r="BR61" s="3"/>
      <c r="BS61" s="3"/>
      <c r="BT61" s="3"/>
    </row>
    <row r="62" spans="1:72" ht="22.5" customHeight="1" x14ac:dyDescent="0.25">
      <c r="A62" s="3">
        <v>61</v>
      </c>
      <c r="B62" s="4" t="s">
        <v>641</v>
      </c>
      <c r="C62" s="4"/>
      <c r="D62" s="4" t="s">
        <v>685</v>
      </c>
      <c r="E62" s="4" t="s">
        <v>686</v>
      </c>
      <c r="F62" s="4"/>
      <c r="G62" s="4" t="s">
        <v>687</v>
      </c>
      <c r="H62" s="4" t="s">
        <v>688</v>
      </c>
      <c r="I62" s="4" t="s">
        <v>689</v>
      </c>
      <c r="J62" s="4"/>
      <c r="K62" s="4" t="s">
        <v>690</v>
      </c>
      <c r="L62" s="4" t="s">
        <v>691</v>
      </c>
      <c r="M62" s="4" t="s">
        <v>692</v>
      </c>
      <c r="N62" s="4"/>
      <c r="O62" s="4"/>
      <c r="P62" s="4"/>
      <c r="Q62" s="4"/>
      <c r="R62" s="4"/>
      <c r="S62" s="4" t="s">
        <v>693</v>
      </c>
      <c r="T62" s="4" t="s">
        <v>407</v>
      </c>
      <c r="U62" s="4"/>
      <c r="V62" s="5"/>
      <c r="W62" s="4"/>
      <c r="X62" s="4"/>
      <c r="Y62" s="4"/>
      <c r="Z62" s="6"/>
      <c r="AA62" s="3"/>
      <c r="AB62" s="7"/>
      <c r="AC62" s="7"/>
      <c r="AD62" s="6"/>
      <c r="AE62" s="6"/>
      <c r="AF62" s="6"/>
      <c r="AG62" s="3"/>
      <c r="AH62" s="3"/>
      <c r="AI62" s="3"/>
      <c r="AJ62" s="3"/>
      <c r="AK62" s="3"/>
      <c r="AL62" s="3"/>
      <c r="AM62" s="3"/>
      <c r="AN62" s="3"/>
      <c r="AO62" s="3"/>
      <c r="AP62" s="3"/>
      <c r="AQ62" s="3"/>
      <c r="AR62" s="3"/>
      <c r="AS62" s="3"/>
      <c r="AT62" s="3"/>
      <c r="AU62" s="3"/>
      <c r="AV62" s="3"/>
      <c r="AW62" s="3"/>
      <c r="AX62" s="3"/>
      <c r="AY62" s="3"/>
      <c r="AZ62" s="3"/>
      <c r="BA62" s="3"/>
      <c r="BB62" s="3"/>
      <c r="BC62" s="3"/>
      <c r="BD62" s="9"/>
      <c r="BE62" s="3"/>
      <c r="BF62" s="3"/>
      <c r="BG62" s="3"/>
      <c r="BH62" s="3"/>
      <c r="BI62" s="3"/>
      <c r="BJ62" s="3"/>
      <c r="BK62" s="3"/>
      <c r="BL62" s="3"/>
      <c r="BM62" s="3"/>
      <c r="BN62" s="3"/>
      <c r="BO62" s="3"/>
      <c r="BP62" s="6"/>
      <c r="BQ62" s="3"/>
      <c r="BR62" s="3"/>
      <c r="BS62" s="3"/>
      <c r="BT62" s="3"/>
    </row>
    <row r="63" spans="1:72" ht="22.5" customHeight="1" x14ac:dyDescent="0.25">
      <c r="A63" s="3">
        <v>62</v>
      </c>
      <c r="B63" s="4" t="s">
        <v>641</v>
      </c>
      <c r="C63" s="4"/>
      <c r="D63" s="4" t="s">
        <v>685</v>
      </c>
      <c r="E63" s="4" t="s">
        <v>686</v>
      </c>
      <c r="F63" s="4"/>
      <c r="G63" s="4" t="s">
        <v>694</v>
      </c>
      <c r="H63" s="4" t="s">
        <v>695</v>
      </c>
      <c r="I63" s="4" t="s">
        <v>696</v>
      </c>
      <c r="J63" s="4"/>
      <c r="K63" s="4" t="s">
        <v>697</v>
      </c>
      <c r="L63" s="4" t="s">
        <v>698</v>
      </c>
      <c r="M63" s="4"/>
      <c r="N63" s="4"/>
      <c r="O63" s="4"/>
      <c r="P63" s="4"/>
      <c r="Q63" s="4"/>
      <c r="R63" s="4"/>
      <c r="S63" s="4" t="s">
        <v>693</v>
      </c>
      <c r="T63" s="4" t="s">
        <v>407</v>
      </c>
      <c r="U63" s="4"/>
      <c r="V63" s="5"/>
      <c r="W63" s="4"/>
      <c r="X63" s="4"/>
      <c r="Y63" s="4"/>
      <c r="Z63" s="6"/>
      <c r="AA63" s="3"/>
      <c r="AB63" s="7"/>
      <c r="AC63" s="7"/>
      <c r="AD63" s="6"/>
      <c r="AE63" s="6"/>
      <c r="AF63" s="6"/>
      <c r="AG63" s="3"/>
      <c r="AH63" s="3"/>
      <c r="AI63" s="3"/>
      <c r="AJ63" s="3"/>
      <c r="AK63" s="3"/>
      <c r="AL63" s="3"/>
      <c r="AM63" s="3"/>
      <c r="AN63" s="3"/>
      <c r="AO63" s="3"/>
      <c r="AP63" s="3"/>
      <c r="AQ63" s="3"/>
      <c r="AR63" s="3"/>
      <c r="AS63" s="3"/>
      <c r="AT63" s="3"/>
      <c r="AU63" s="3"/>
      <c r="AV63" s="3"/>
      <c r="AW63" s="3"/>
      <c r="AX63" s="3"/>
      <c r="AY63" s="3"/>
      <c r="AZ63" s="3"/>
      <c r="BA63" s="3"/>
      <c r="BB63" s="3"/>
      <c r="BC63" s="3"/>
      <c r="BD63" s="9"/>
      <c r="BE63" s="3"/>
      <c r="BF63" s="3"/>
      <c r="BG63" s="3"/>
      <c r="BH63" s="3"/>
      <c r="BI63" s="3"/>
      <c r="BJ63" s="3"/>
      <c r="BK63" s="3"/>
      <c r="BL63" s="3"/>
      <c r="BM63" s="3"/>
      <c r="BN63" s="3"/>
      <c r="BO63" s="3"/>
      <c r="BP63" s="6"/>
      <c r="BQ63" s="3"/>
      <c r="BR63" s="3"/>
      <c r="BS63" s="3"/>
      <c r="BT63" s="3"/>
    </row>
    <row r="64" spans="1:72" ht="22.5" customHeight="1" x14ac:dyDescent="0.25">
      <c r="A64" s="3">
        <v>63</v>
      </c>
      <c r="B64" s="4" t="s">
        <v>641</v>
      </c>
      <c r="C64" s="4"/>
      <c r="D64" s="4" t="s">
        <v>685</v>
      </c>
      <c r="E64" s="4" t="s">
        <v>686</v>
      </c>
      <c r="F64" s="4"/>
      <c r="G64" s="4" t="s">
        <v>699</v>
      </c>
      <c r="H64" s="4" t="s">
        <v>700</v>
      </c>
      <c r="I64" s="4" t="s">
        <v>701</v>
      </c>
      <c r="J64" s="4"/>
      <c r="K64" s="4" t="s">
        <v>702</v>
      </c>
      <c r="L64" s="4" t="s">
        <v>703</v>
      </c>
      <c r="M64" s="4"/>
      <c r="N64" s="4"/>
      <c r="O64" s="4"/>
      <c r="P64" s="4"/>
      <c r="Q64" s="4"/>
      <c r="R64" s="4"/>
      <c r="S64" s="4" t="s">
        <v>693</v>
      </c>
      <c r="T64" s="4" t="s">
        <v>407</v>
      </c>
      <c r="U64" s="4"/>
      <c r="V64" s="5"/>
      <c r="W64" s="4"/>
      <c r="X64" s="4"/>
      <c r="Y64" s="4"/>
      <c r="Z64" s="6"/>
      <c r="AA64" s="3"/>
      <c r="AB64" s="7"/>
      <c r="AC64" s="7"/>
      <c r="AD64" s="6"/>
      <c r="AE64" s="6"/>
      <c r="AF64" s="6"/>
      <c r="AG64" s="3"/>
      <c r="AH64" s="3"/>
      <c r="AI64" s="3"/>
      <c r="AJ64" s="3"/>
      <c r="AK64" s="3"/>
      <c r="AL64" s="3"/>
      <c r="AM64" s="3"/>
      <c r="AN64" s="3"/>
      <c r="AO64" s="3"/>
      <c r="AP64" s="3"/>
      <c r="AQ64" s="3"/>
      <c r="AR64" s="3"/>
      <c r="AS64" s="3"/>
      <c r="AT64" s="3"/>
      <c r="AU64" s="3"/>
      <c r="AV64" s="3"/>
      <c r="AW64" s="3"/>
      <c r="AX64" s="3"/>
      <c r="AY64" s="3"/>
      <c r="AZ64" s="3"/>
      <c r="BA64" s="3"/>
      <c r="BB64" s="3"/>
      <c r="BC64" s="3"/>
      <c r="BD64" s="9"/>
      <c r="BE64" s="3"/>
      <c r="BF64" s="3"/>
      <c r="BG64" s="3"/>
      <c r="BH64" s="3"/>
      <c r="BI64" s="3"/>
      <c r="BJ64" s="3"/>
      <c r="BK64" s="3"/>
      <c r="BL64" s="3"/>
      <c r="BM64" s="3"/>
      <c r="BN64" s="3"/>
      <c r="BO64" s="3"/>
      <c r="BP64" s="6"/>
      <c r="BQ64" s="3"/>
      <c r="BR64" s="3"/>
      <c r="BS64" s="3"/>
      <c r="BT64" s="3"/>
    </row>
    <row r="65" spans="1:72" ht="22.5" customHeight="1" x14ac:dyDescent="0.25">
      <c r="A65" s="3">
        <v>64</v>
      </c>
      <c r="B65" s="4" t="s">
        <v>641</v>
      </c>
      <c r="C65" s="4"/>
      <c r="D65" s="4" t="s">
        <v>438</v>
      </c>
      <c r="E65" s="4" t="s">
        <v>686</v>
      </c>
      <c r="F65" s="4"/>
      <c r="G65" s="4" t="s">
        <v>704</v>
      </c>
      <c r="H65" s="4" t="s">
        <v>705</v>
      </c>
      <c r="I65" s="4" t="s">
        <v>706</v>
      </c>
      <c r="J65" s="4"/>
      <c r="K65" s="4" t="s">
        <v>707</v>
      </c>
      <c r="L65" s="4" t="s">
        <v>708</v>
      </c>
      <c r="M65" s="4"/>
      <c r="N65" s="4"/>
      <c r="O65" s="4"/>
      <c r="P65" s="4"/>
      <c r="Q65" s="4"/>
      <c r="R65" s="4"/>
      <c r="S65" s="4" t="s">
        <v>693</v>
      </c>
      <c r="T65" s="4" t="s">
        <v>407</v>
      </c>
      <c r="U65" s="4"/>
      <c r="V65" s="5"/>
      <c r="W65" s="4"/>
      <c r="X65" s="4"/>
      <c r="Y65" s="4"/>
      <c r="Z65" s="6"/>
      <c r="AA65" s="3"/>
      <c r="AB65" s="7"/>
      <c r="AC65" s="7"/>
      <c r="AD65" s="6"/>
      <c r="AE65" s="6"/>
      <c r="AF65" s="6"/>
      <c r="AG65" s="3"/>
      <c r="AH65" s="3"/>
      <c r="AI65" s="3"/>
      <c r="AJ65" s="3"/>
      <c r="AK65" s="3"/>
      <c r="AL65" s="3"/>
      <c r="AM65" s="3"/>
      <c r="AN65" s="3"/>
      <c r="AO65" s="3"/>
      <c r="AP65" s="3"/>
      <c r="AQ65" s="3"/>
      <c r="AR65" s="3"/>
      <c r="AS65" s="3"/>
      <c r="AT65" s="3"/>
      <c r="AU65" s="3"/>
      <c r="AV65" s="3"/>
      <c r="AW65" s="3"/>
      <c r="AX65" s="3"/>
      <c r="AY65" s="3"/>
      <c r="AZ65" s="3"/>
      <c r="BA65" s="3"/>
      <c r="BB65" s="3"/>
      <c r="BC65" s="3"/>
      <c r="BD65" s="9"/>
      <c r="BE65" s="3"/>
      <c r="BF65" s="3"/>
      <c r="BG65" s="3"/>
      <c r="BH65" s="3"/>
      <c r="BI65" s="3"/>
      <c r="BJ65" s="3"/>
      <c r="BK65" s="3"/>
      <c r="BL65" s="3"/>
      <c r="BM65" s="3"/>
      <c r="BN65" s="3"/>
      <c r="BO65" s="3"/>
      <c r="BP65" s="6"/>
      <c r="BQ65" s="3"/>
      <c r="BR65" s="3"/>
      <c r="BS65" s="3"/>
      <c r="BT65" s="3"/>
    </row>
    <row r="66" spans="1:72" ht="22.5" customHeight="1" x14ac:dyDescent="0.25">
      <c r="A66" s="3">
        <v>65</v>
      </c>
      <c r="B66" s="4" t="s">
        <v>641</v>
      </c>
      <c r="C66" s="4"/>
      <c r="D66" s="4" t="s">
        <v>709</v>
      </c>
      <c r="E66" s="4" t="s">
        <v>686</v>
      </c>
      <c r="F66" s="4"/>
      <c r="G66" s="4" t="s">
        <v>710</v>
      </c>
      <c r="H66" s="4" t="s">
        <v>711</v>
      </c>
      <c r="I66" s="4" t="s">
        <v>712</v>
      </c>
      <c r="J66" s="4"/>
      <c r="K66" s="4" t="s">
        <v>713</v>
      </c>
      <c r="L66" s="4" t="s">
        <v>714</v>
      </c>
      <c r="M66" s="4" t="s">
        <v>715</v>
      </c>
      <c r="N66" s="4"/>
      <c r="O66" s="4"/>
      <c r="P66" s="4"/>
      <c r="Q66" s="4"/>
      <c r="R66" s="4"/>
      <c r="S66" s="4" t="s">
        <v>693</v>
      </c>
      <c r="T66" s="4" t="s">
        <v>407</v>
      </c>
      <c r="U66" s="4"/>
      <c r="V66" s="5"/>
      <c r="W66" s="4"/>
      <c r="X66" s="4"/>
      <c r="Y66" s="4"/>
      <c r="Z66" s="6"/>
      <c r="AA66" s="3"/>
      <c r="AB66" s="7"/>
      <c r="AC66" s="7"/>
      <c r="AD66" s="6"/>
      <c r="AE66" s="6"/>
      <c r="AF66" s="6"/>
      <c r="AG66" s="3"/>
      <c r="AH66" s="3"/>
      <c r="AI66" s="3"/>
      <c r="AJ66" s="3"/>
      <c r="AK66" s="3"/>
      <c r="AL66" s="3"/>
      <c r="AM66" s="3"/>
      <c r="AN66" s="3"/>
      <c r="AO66" s="3"/>
      <c r="AP66" s="3"/>
      <c r="AQ66" s="3"/>
      <c r="AR66" s="3"/>
      <c r="AS66" s="3"/>
      <c r="AT66" s="3"/>
      <c r="AU66" s="3"/>
      <c r="AV66" s="3"/>
      <c r="AW66" s="3"/>
      <c r="AX66" s="3"/>
      <c r="AY66" s="3"/>
      <c r="AZ66" s="3"/>
      <c r="BA66" s="3"/>
      <c r="BB66" s="3"/>
      <c r="BC66" s="3"/>
      <c r="BD66" s="9"/>
      <c r="BE66" s="3"/>
      <c r="BF66" s="3"/>
      <c r="BG66" s="3"/>
      <c r="BH66" s="3"/>
      <c r="BI66" s="3"/>
      <c r="BJ66" s="3"/>
      <c r="BK66" s="3"/>
      <c r="BL66" s="3"/>
      <c r="BM66" s="3"/>
      <c r="BN66" s="3"/>
      <c r="BO66" s="3"/>
      <c r="BP66" s="6"/>
      <c r="BQ66" s="3"/>
      <c r="BR66" s="3"/>
      <c r="BS66" s="3"/>
      <c r="BT66" s="3"/>
    </row>
    <row r="67" spans="1:72" ht="22.5" customHeight="1" x14ac:dyDescent="0.25">
      <c r="A67" s="3">
        <v>66</v>
      </c>
      <c r="B67" s="4" t="s">
        <v>641</v>
      </c>
      <c r="C67" s="4"/>
      <c r="D67" s="4" t="s">
        <v>709</v>
      </c>
      <c r="E67" s="4" t="s">
        <v>686</v>
      </c>
      <c r="F67" s="4"/>
      <c r="G67" s="4" t="s">
        <v>716</v>
      </c>
      <c r="H67" s="4" t="s">
        <v>717</v>
      </c>
      <c r="I67" s="4" t="s">
        <v>718</v>
      </c>
      <c r="J67" s="4"/>
      <c r="K67" s="4" t="s">
        <v>719</v>
      </c>
      <c r="L67" s="4" t="s">
        <v>720</v>
      </c>
      <c r="M67" s="4"/>
      <c r="N67" s="4"/>
      <c r="O67" s="4"/>
      <c r="P67" s="4"/>
      <c r="Q67" s="4"/>
      <c r="R67" s="4"/>
      <c r="S67" s="4" t="s">
        <v>693</v>
      </c>
      <c r="T67" s="4" t="s">
        <v>407</v>
      </c>
      <c r="U67" s="4"/>
      <c r="V67" s="5"/>
      <c r="W67" s="4"/>
      <c r="X67" s="4"/>
      <c r="Y67" s="4"/>
      <c r="Z67" s="6"/>
      <c r="AA67" s="3"/>
      <c r="AB67" s="7"/>
      <c r="AC67" s="7"/>
      <c r="AD67" s="6"/>
      <c r="AE67" s="6"/>
      <c r="AF67" s="6"/>
      <c r="AG67" s="3"/>
      <c r="AH67" s="3"/>
      <c r="AI67" s="3"/>
      <c r="AJ67" s="3"/>
      <c r="AK67" s="3"/>
      <c r="AL67" s="3"/>
      <c r="AM67" s="3"/>
      <c r="AN67" s="3"/>
      <c r="AO67" s="3"/>
      <c r="AP67" s="3"/>
      <c r="AQ67" s="3"/>
      <c r="AR67" s="3"/>
      <c r="AS67" s="3"/>
      <c r="AT67" s="3"/>
      <c r="AU67" s="3"/>
      <c r="AV67" s="3"/>
      <c r="AW67" s="3"/>
      <c r="AX67" s="3"/>
      <c r="AY67" s="3"/>
      <c r="AZ67" s="3"/>
      <c r="BA67" s="3"/>
      <c r="BB67" s="3"/>
      <c r="BC67" s="3"/>
      <c r="BD67" s="9"/>
      <c r="BE67" s="3"/>
      <c r="BF67" s="3"/>
      <c r="BG67" s="3"/>
      <c r="BH67" s="3"/>
      <c r="BI67" s="3"/>
      <c r="BJ67" s="3"/>
      <c r="BK67" s="3"/>
      <c r="BL67" s="3"/>
      <c r="BM67" s="3"/>
      <c r="BN67" s="3"/>
      <c r="BO67" s="3"/>
      <c r="BP67" s="6"/>
      <c r="BQ67" s="3"/>
      <c r="BR67" s="3"/>
      <c r="BS67" s="3"/>
      <c r="BT67" s="3"/>
    </row>
    <row r="68" spans="1:72" ht="22.5" customHeight="1" x14ac:dyDescent="0.25">
      <c r="A68" s="3">
        <v>67</v>
      </c>
      <c r="B68" s="4" t="s">
        <v>641</v>
      </c>
      <c r="C68" s="4"/>
      <c r="D68" s="4" t="s">
        <v>709</v>
      </c>
      <c r="E68" s="4" t="s">
        <v>686</v>
      </c>
      <c r="F68" s="4"/>
      <c r="G68" s="4" t="s">
        <v>721</v>
      </c>
      <c r="H68" s="4" t="s">
        <v>722</v>
      </c>
      <c r="I68" s="4" t="s">
        <v>723</v>
      </c>
      <c r="J68" s="4"/>
      <c r="K68" s="4" t="s">
        <v>724</v>
      </c>
      <c r="L68" s="4" t="s">
        <v>725</v>
      </c>
      <c r="M68" s="4" t="s">
        <v>726</v>
      </c>
      <c r="N68" s="4"/>
      <c r="O68" s="4"/>
      <c r="P68" s="4"/>
      <c r="Q68" s="4"/>
      <c r="R68" s="4"/>
      <c r="S68" s="4" t="s">
        <v>693</v>
      </c>
      <c r="T68" s="4" t="s">
        <v>84</v>
      </c>
      <c r="U68" s="4"/>
      <c r="V68" s="5"/>
      <c r="W68" s="4"/>
      <c r="X68" s="4"/>
      <c r="Y68" s="4"/>
      <c r="Z68" s="6"/>
      <c r="AA68" s="3"/>
      <c r="AB68" s="7"/>
      <c r="AC68" s="7"/>
      <c r="AD68" s="6"/>
      <c r="AE68" s="6"/>
      <c r="AF68" s="6"/>
      <c r="AG68" s="3"/>
      <c r="AH68" s="3"/>
      <c r="AI68" s="3"/>
      <c r="AJ68" s="3"/>
      <c r="AK68" s="3"/>
      <c r="AL68" s="3"/>
      <c r="AM68" s="3"/>
      <c r="AN68" s="3"/>
      <c r="AO68" s="3"/>
      <c r="AP68" s="3"/>
      <c r="AQ68" s="3"/>
      <c r="AR68" s="3"/>
      <c r="AS68" s="3"/>
      <c r="AT68" s="3"/>
      <c r="AU68" s="3"/>
      <c r="AV68" s="3"/>
      <c r="AW68" s="3"/>
      <c r="AX68" s="3"/>
      <c r="AY68" s="3"/>
      <c r="AZ68" s="3"/>
      <c r="BA68" s="3"/>
      <c r="BB68" s="3"/>
      <c r="BC68" s="3"/>
      <c r="BD68" s="9"/>
      <c r="BE68" s="3"/>
      <c r="BF68" s="3"/>
      <c r="BG68" s="3"/>
      <c r="BH68" s="3"/>
      <c r="BI68" s="3"/>
      <c r="BJ68" s="3"/>
      <c r="BK68" s="3"/>
      <c r="BL68" s="3"/>
      <c r="BM68" s="3"/>
      <c r="BN68" s="3"/>
      <c r="BO68" s="3"/>
      <c r="BP68" s="6"/>
      <c r="BQ68" s="3"/>
      <c r="BR68" s="3"/>
      <c r="BS68" s="3"/>
      <c r="BT68" s="3"/>
    </row>
    <row r="69" spans="1:72" ht="22.5" customHeight="1" x14ac:dyDescent="0.25">
      <c r="A69" s="3">
        <v>68</v>
      </c>
      <c r="B69" s="4" t="s">
        <v>641</v>
      </c>
      <c r="C69" s="4"/>
      <c r="D69" s="4" t="s">
        <v>685</v>
      </c>
      <c r="E69" s="4" t="s">
        <v>642</v>
      </c>
      <c r="F69" s="4"/>
      <c r="G69" s="4" t="s">
        <v>727</v>
      </c>
      <c r="H69" s="4" t="s">
        <v>728</v>
      </c>
      <c r="I69" s="4" t="s">
        <v>729</v>
      </c>
      <c r="J69" s="4"/>
      <c r="K69" s="4" t="s">
        <v>730</v>
      </c>
      <c r="L69" s="4" t="s">
        <v>731</v>
      </c>
      <c r="M69" s="4" t="s">
        <v>732</v>
      </c>
      <c r="N69" s="4"/>
      <c r="O69" s="4"/>
      <c r="P69" s="4"/>
      <c r="Q69" s="4"/>
      <c r="R69" s="4"/>
      <c r="S69" s="4" t="s">
        <v>693</v>
      </c>
      <c r="T69" s="4" t="s">
        <v>84</v>
      </c>
      <c r="U69" s="4"/>
      <c r="V69" s="5"/>
      <c r="W69" s="4"/>
      <c r="X69" s="4"/>
      <c r="Y69" s="4"/>
      <c r="Z69" s="6"/>
      <c r="AA69" s="3"/>
      <c r="AB69" s="7"/>
      <c r="AC69" s="7"/>
      <c r="AD69" s="6"/>
      <c r="AE69" s="6"/>
      <c r="AF69" s="6"/>
      <c r="AG69" s="3"/>
      <c r="AH69" s="3"/>
      <c r="AI69" s="3"/>
      <c r="AJ69" s="3"/>
      <c r="AK69" s="3"/>
      <c r="AL69" s="3"/>
      <c r="AM69" s="3"/>
      <c r="AN69" s="3"/>
      <c r="AO69" s="3"/>
      <c r="AP69" s="3"/>
      <c r="AQ69" s="3"/>
      <c r="AR69" s="3"/>
      <c r="AS69" s="3"/>
      <c r="AT69" s="3"/>
      <c r="AU69" s="3"/>
      <c r="AV69" s="3"/>
      <c r="AW69" s="3"/>
      <c r="AX69" s="3"/>
      <c r="AY69" s="3"/>
      <c r="AZ69" s="3"/>
      <c r="BA69" s="3"/>
      <c r="BB69" s="3"/>
      <c r="BC69" s="3"/>
      <c r="BD69" s="9"/>
      <c r="BE69" s="3"/>
      <c r="BF69" s="3"/>
      <c r="BG69" s="3"/>
      <c r="BH69" s="3"/>
      <c r="BI69" s="3"/>
      <c r="BJ69" s="3"/>
      <c r="BK69" s="3"/>
      <c r="BL69" s="3"/>
      <c r="BM69" s="3"/>
      <c r="BN69" s="3"/>
      <c r="BO69" s="3"/>
      <c r="BP69" s="6"/>
      <c r="BQ69" s="3"/>
      <c r="BR69" s="3"/>
      <c r="BS69" s="3"/>
      <c r="BT69" s="3"/>
    </row>
    <row r="70" spans="1:72" ht="22.5" customHeight="1" x14ac:dyDescent="0.25">
      <c r="A70" s="3">
        <v>69</v>
      </c>
      <c r="B70" s="4" t="s">
        <v>641</v>
      </c>
      <c r="C70" s="4"/>
      <c r="D70" s="4" t="s">
        <v>733</v>
      </c>
      <c r="E70" s="4" t="s">
        <v>686</v>
      </c>
      <c r="F70" s="4"/>
      <c r="G70" s="4" t="s">
        <v>734</v>
      </c>
      <c r="H70" s="4" t="s">
        <v>735</v>
      </c>
      <c r="I70" s="4" t="s">
        <v>736</v>
      </c>
      <c r="J70" s="4"/>
      <c r="K70" s="4" t="s">
        <v>737</v>
      </c>
      <c r="L70" s="4" t="s">
        <v>738</v>
      </c>
      <c r="M70" s="4" t="s">
        <v>739</v>
      </c>
      <c r="N70" s="4"/>
      <c r="O70" s="4"/>
      <c r="P70" s="4"/>
      <c r="Q70" s="4"/>
      <c r="R70" s="4"/>
      <c r="S70" s="4" t="s">
        <v>693</v>
      </c>
      <c r="T70" s="4" t="s">
        <v>84</v>
      </c>
      <c r="U70" s="4"/>
      <c r="V70" s="5"/>
      <c r="W70" s="4"/>
      <c r="X70" s="4"/>
      <c r="Y70" s="4"/>
      <c r="Z70" s="6"/>
      <c r="AA70" s="3"/>
      <c r="AB70" s="7"/>
      <c r="AC70" s="7"/>
      <c r="AD70" s="6"/>
      <c r="AE70" s="6"/>
      <c r="AF70" s="6"/>
      <c r="AG70" s="3"/>
      <c r="AH70" s="3"/>
      <c r="AI70" s="3"/>
      <c r="AJ70" s="3"/>
      <c r="AK70" s="3"/>
      <c r="AL70" s="3"/>
      <c r="AM70" s="3"/>
      <c r="AN70" s="3"/>
      <c r="AO70" s="3"/>
      <c r="AP70" s="3"/>
      <c r="AQ70" s="3"/>
      <c r="AR70" s="3"/>
      <c r="AS70" s="3"/>
      <c r="AT70" s="3"/>
      <c r="AU70" s="3"/>
      <c r="AV70" s="3"/>
      <c r="AW70" s="3"/>
      <c r="AX70" s="3"/>
      <c r="AY70" s="3"/>
      <c r="AZ70" s="3"/>
      <c r="BA70" s="3"/>
      <c r="BB70" s="3"/>
      <c r="BC70" s="3"/>
      <c r="BD70" s="9"/>
      <c r="BE70" s="3"/>
      <c r="BF70" s="3"/>
      <c r="BG70" s="3"/>
      <c r="BH70" s="3"/>
      <c r="BI70" s="3"/>
      <c r="BJ70" s="3"/>
      <c r="BK70" s="3"/>
      <c r="BL70" s="3"/>
      <c r="BM70" s="3"/>
      <c r="BN70" s="3"/>
      <c r="BO70" s="3"/>
      <c r="BP70" s="6"/>
      <c r="BQ70" s="3"/>
      <c r="BR70" s="3"/>
      <c r="BS70" s="3"/>
      <c r="BT70" s="3"/>
    </row>
    <row r="71" spans="1:72" ht="22.5" customHeight="1" x14ac:dyDescent="0.25">
      <c r="A71" s="3">
        <v>70</v>
      </c>
      <c r="B71" s="4" t="s">
        <v>641</v>
      </c>
      <c r="C71" s="4"/>
      <c r="D71" s="4" t="s">
        <v>685</v>
      </c>
      <c r="E71" s="4" t="s">
        <v>686</v>
      </c>
      <c r="F71" s="4"/>
      <c r="G71" s="4" t="s">
        <v>740</v>
      </c>
      <c r="H71" s="4" t="s">
        <v>741</v>
      </c>
      <c r="I71" s="4" t="s">
        <v>742</v>
      </c>
      <c r="J71" s="4"/>
      <c r="K71" s="4" t="s">
        <v>743</v>
      </c>
      <c r="L71" s="4" t="s">
        <v>744</v>
      </c>
      <c r="M71" s="4"/>
      <c r="N71" s="4"/>
      <c r="O71" s="4"/>
      <c r="P71" s="4"/>
      <c r="Q71" s="4"/>
      <c r="R71" s="4"/>
      <c r="S71" s="4" t="s">
        <v>693</v>
      </c>
      <c r="T71" s="4" t="s">
        <v>407</v>
      </c>
      <c r="U71" s="4"/>
      <c r="V71" s="5"/>
      <c r="W71" s="4"/>
      <c r="X71" s="4"/>
      <c r="Y71" s="4"/>
      <c r="Z71" s="6"/>
      <c r="AA71" s="3"/>
      <c r="AB71" s="7"/>
      <c r="AC71" s="7"/>
      <c r="AD71" s="6"/>
      <c r="AE71" s="6"/>
      <c r="AF71" s="6"/>
      <c r="AG71" s="3"/>
      <c r="AH71" s="3"/>
      <c r="AI71" s="3"/>
      <c r="AJ71" s="3"/>
      <c r="AK71" s="3"/>
      <c r="AL71" s="3"/>
      <c r="AM71" s="3"/>
      <c r="AN71" s="3"/>
      <c r="AO71" s="3"/>
      <c r="AP71" s="3"/>
      <c r="AQ71" s="3"/>
      <c r="AR71" s="3"/>
      <c r="AS71" s="3"/>
      <c r="AT71" s="3"/>
      <c r="AU71" s="3"/>
      <c r="AV71" s="3"/>
      <c r="AW71" s="3"/>
      <c r="AX71" s="3"/>
      <c r="AY71" s="3"/>
      <c r="AZ71" s="3"/>
      <c r="BA71" s="3"/>
      <c r="BB71" s="3"/>
      <c r="BC71" s="3"/>
      <c r="BD71" s="9"/>
      <c r="BE71" s="3"/>
      <c r="BF71" s="3"/>
      <c r="BG71" s="3"/>
      <c r="BH71" s="3"/>
      <c r="BI71" s="3"/>
      <c r="BJ71" s="3"/>
      <c r="BK71" s="3"/>
      <c r="BL71" s="3"/>
      <c r="BM71" s="3"/>
      <c r="BN71" s="3"/>
      <c r="BO71" s="3"/>
      <c r="BP71" s="6"/>
      <c r="BQ71" s="3"/>
      <c r="BR71" s="3"/>
      <c r="BS71" s="3"/>
      <c r="BT71" s="3"/>
    </row>
    <row r="72" spans="1:72" ht="22.5" customHeight="1" x14ac:dyDescent="0.25">
      <c r="A72" s="3">
        <v>71</v>
      </c>
      <c r="B72" s="4" t="s">
        <v>745</v>
      </c>
      <c r="C72" s="4"/>
      <c r="D72" s="4" t="s">
        <v>746</v>
      </c>
      <c r="E72" s="4" t="s">
        <v>747</v>
      </c>
      <c r="F72" s="4"/>
      <c r="G72" s="4" t="s">
        <v>748</v>
      </c>
      <c r="H72" s="4" t="s">
        <v>749</v>
      </c>
      <c r="I72" s="4"/>
      <c r="J72" s="4"/>
      <c r="K72" s="4"/>
      <c r="L72" s="4"/>
      <c r="M72" s="4"/>
      <c r="N72" s="4"/>
      <c r="O72" s="4"/>
      <c r="P72" s="4"/>
      <c r="Q72" s="4"/>
      <c r="R72" s="4"/>
      <c r="S72" s="4"/>
      <c r="T72" s="4"/>
      <c r="U72" s="4"/>
      <c r="V72" s="5"/>
      <c r="W72" s="4"/>
      <c r="X72" s="4" t="s">
        <v>140</v>
      </c>
      <c r="Y72" s="4"/>
      <c r="Z72" s="6"/>
      <c r="AA72" s="3"/>
      <c r="AB72" s="7"/>
      <c r="AC72" s="7"/>
      <c r="AD72" s="6"/>
      <c r="AE72" s="6"/>
      <c r="AF72" s="6"/>
      <c r="AG72" s="3"/>
      <c r="AH72" s="3"/>
      <c r="AI72" s="3"/>
      <c r="AJ72" s="3"/>
      <c r="AK72" s="3"/>
      <c r="AL72" s="3"/>
      <c r="AM72" s="3"/>
      <c r="AN72" s="3"/>
      <c r="AO72" s="3"/>
      <c r="AP72" s="3"/>
      <c r="AQ72" s="3"/>
      <c r="AR72" s="3"/>
      <c r="AS72" s="3"/>
      <c r="AT72" s="3"/>
      <c r="AU72" s="3"/>
      <c r="AV72" s="3"/>
      <c r="AW72" s="3"/>
      <c r="AX72" s="3"/>
      <c r="AY72" s="3"/>
      <c r="AZ72" s="3"/>
      <c r="BA72" s="3"/>
      <c r="BB72" s="3"/>
      <c r="BC72" s="3"/>
      <c r="BD72" s="9"/>
      <c r="BE72" s="3"/>
      <c r="BF72" s="3"/>
      <c r="BG72" s="3"/>
      <c r="BH72" s="3"/>
      <c r="BI72" s="3"/>
      <c r="BJ72" s="3"/>
      <c r="BK72" s="3"/>
      <c r="BL72" s="3"/>
      <c r="BM72" s="3"/>
      <c r="BN72" s="3"/>
      <c r="BO72" s="3"/>
      <c r="BP72" s="6"/>
      <c r="BQ72" s="3"/>
      <c r="BR72" s="3"/>
      <c r="BS72" s="3"/>
      <c r="BT72" s="3"/>
    </row>
    <row r="73" spans="1:72" ht="123" customHeight="1" x14ac:dyDescent="0.25">
      <c r="A73" s="3">
        <v>72</v>
      </c>
      <c r="B73" s="4" t="s">
        <v>745</v>
      </c>
      <c r="C73" s="4" t="s">
        <v>750</v>
      </c>
      <c r="D73" s="4" t="s">
        <v>751</v>
      </c>
      <c r="E73" s="4" t="s">
        <v>549</v>
      </c>
      <c r="F73" s="4" t="s">
        <v>550</v>
      </c>
      <c r="G73" s="4" t="s">
        <v>752</v>
      </c>
      <c r="H73" s="4" t="s">
        <v>753</v>
      </c>
      <c r="I73" s="4" t="s">
        <v>754</v>
      </c>
      <c r="J73" s="4" t="s">
        <v>755</v>
      </c>
      <c r="K73" s="4" t="s">
        <v>756</v>
      </c>
      <c r="L73" s="4" t="s">
        <v>757</v>
      </c>
      <c r="M73" s="4" t="s">
        <v>758</v>
      </c>
      <c r="N73" s="4"/>
      <c r="O73" s="4"/>
      <c r="P73" s="4"/>
      <c r="Q73" s="4"/>
      <c r="R73" s="4"/>
      <c r="S73" s="4" t="s">
        <v>83</v>
      </c>
      <c r="T73" s="4" t="s">
        <v>105</v>
      </c>
      <c r="U73" s="4" t="s">
        <v>759</v>
      </c>
      <c r="V73" s="5">
        <v>756</v>
      </c>
      <c r="W73" s="4">
        <v>780</v>
      </c>
      <c r="X73" s="4" t="s">
        <v>86</v>
      </c>
      <c r="Y73" s="13">
        <v>103</v>
      </c>
      <c r="Z73" s="12">
        <v>3</v>
      </c>
      <c r="AA73" s="10"/>
      <c r="AB73" s="7"/>
      <c r="AC73" s="7"/>
      <c r="AD73" s="6"/>
      <c r="AE73" s="6"/>
      <c r="AF73" s="6">
        <f>Y73+Z73</f>
        <v>106</v>
      </c>
      <c r="AG73" s="10" t="s">
        <v>760</v>
      </c>
      <c r="AH73" s="10" t="s">
        <v>761</v>
      </c>
      <c r="AI73" s="3" t="s">
        <v>762</v>
      </c>
      <c r="AJ73" s="10"/>
      <c r="AK73" s="3">
        <v>93</v>
      </c>
      <c r="AL73" s="3">
        <v>3</v>
      </c>
      <c r="AM73" s="3"/>
      <c r="AN73" s="3"/>
      <c r="AO73" s="3"/>
      <c r="AP73" s="3"/>
      <c r="AQ73" s="3"/>
      <c r="AR73" s="6">
        <f>AK73+AL73</f>
        <v>96</v>
      </c>
      <c r="AS73" s="3" t="s">
        <v>763</v>
      </c>
      <c r="AT73" s="3" t="s">
        <v>764</v>
      </c>
      <c r="AU73" s="3" t="s">
        <v>765</v>
      </c>
      <c r="AV73" s="3"/>
      <c r="AW73" s="10">
        <v>194</v>
      </c>
      <c r="AX73" s="10">
        <v>4</v>
      </c>
      <c r="AY73" s="3"/>
      <c r="AZ73" s="3"/>
      <c r="BA73" s="3"/>
      <c r="BB73" s="3"/>
      <c r="BC73" s="3"/>
      <c r="BD73" s="9">
        <f>AW73+AX73</f>
        <v>198</v>
      </c>
      <c r="BE73" s="3" t="s">
        <v>766</v>
      </c>
      <c r="BF73" s="3" t="s">
        <v>767</v>
      </c>
      <c r="BG73" s="3"/>
      <c r="BH73" s="3"/>
      <c r="BI73" s="10">
        <v>104</v>
      </c>
      <c r="BJ73" s="10">
        <v>4</v>
      </c>
      <c r="BK73" s="3"/>
      <c r="BL73" s="3"/>
      <c r="BM73" s="3"/>
      <c r="BN73" s="3"/>
      <c r="BO73" s="3"/>
      <c r="BP73" s="6">
        <f>BI73+BJ73</f>
        <v>108</v>
      </c>
      <c r="BQ73" s="10" t="s">
        <v>768</v>
      </c>
      <c r="BR73" s="10" t="s">
        <v>769</v>
      </c>
      <c r="BS73" s="10" t="s">
        <v>770</v>
      </c>
      <c r="BT73" s="3"/>
    </row>
    <row r="74" spans="1:72" ht="133.5" customHeight="1" x14ac:dyDescent="0.25">
      <c r="A74" s="3">
        <v>73</v>
      </c>
      <c r="B74" s="4" t="s">
        <v>745</v>
      </c>
      <c r="C74" s="4" t="s">
        <v>750</v>
      </c>
      <c r="D74" s="4" t="s">
        <v>751</v>
      </c>
      <c r="E74" s="4" t="s">
        <v>549</v>
      </c>
      <c r="F74" s="4" t="s">
        <v>550</v>
      </c>
      <c r="G74" s="4" t="s">
        <v>771</v>
      </c>
      <c r="H74" s="4" t="s">
        <v>772</v>
      </c>
      <c r="I74" s="4" t="s">
        <v>773</v>
      </c>
      <c r="J74" s="4" t="s">
        <v>774</v>
      </c>
      <c r="K74" s="4" t="s">
        <v>775</v>
      </c>
      <c r="L74" s="4" t="s">
        <v>776</v>
      </c>
      <c r="M74" s="4" t="s">
        <v>777</v>
      </c>
      <c r="N74" s="4" t="s">
        <v>778</v>
      </c>
      <c r="O74" s="4" t="s">
        <v>779</v>
      </c>
      <c r="P74" s="4" t="s">
        <v>780</v>
      </c>
      <c r="Q74" s="4" t="s">
        <v>781</v>
      </c>
      <c r="R74" s="4" t="s">
        <v>782</v>
      </c>
      <c r="S74" s="4" t="s">
        <v>83</v>
      </c>
      <c r="T74" s="4" t="s">
        <v>105</v>
      </c>
      <c r="U74" s="4" t="s">
        <v>759</v>
      </c>
      <c r="V74" s="5">
        <v>9804</v>
      </c>
      <c r="W74" s="4">
        <v>9850</v>
      </c>
      <c r="X74" s="4" t="s">
        <v>86</v>
      </c>
      <c r="Y74" s="13">
        <v>52</v>
      </c>
      <c r="Z74" s="12">
        <v>531</v>
      </c>
      <c r="AA74" s="10">
        <v>158</v>
      </c>
      <c r="AB74" s="10">
        <v>1</v>
      </c>
      <c r="AC74" s="10">
        <v>0</v>
      </c>
      <c r="AD74" s="10">
        <v>0</v>
      </c>
      <c r="AE74" s="10">
        <v>2</v>
      </c>
      <c r="AF74" s="6">
        <f>SUM(Y74:AE74)</f>
        <v>744</v>
      </c>
      <c r="AG74" s="10" t="s">
        <v>783</v>
      </c>
      <c r="AH74" s="10" t="s">
        <v>784</v>
      </c>
      <c r="AI74" s="10" t="s">
        <v>785</v>
      </c>
      <c r="AJ74" s="3"/>
      <c r="AK74" s="3">
        <v>0</v>
      </c>
      <c r="AL74" s="3">
        <v>398</v>
      </c>
      <c r="AM74" s="3">
        <v>120</v>
      </c>
      <c r="AN74" s="3">
        <v>3</v>
      </c>
      <c r="AO74" s="3">
        <v>2</v>
      </c>
      <c r="AP74" s="3">
        <v>0</v>
      </c>
      <c r="AQ74" s="3">
        <v>0</v>
      </c>
      <c r="AR74" s="3">
        <f>SUM(AK74:AQ74)</f>
        <v>523</v>
      </c>
      <c r="AS74" s="3" t="s">
        <v>786</v>
      </c>
      <c r="AT74" s="3" t="s">
        <v>787</v>
      </c>
      <c r="AU74" s="3" t="s">
        <v>788</v>
      </c>
      <c r="AV74" s="3"/>
      <c r="AW74" s="3">
        <v>79</v>
      </c>
      <c r="AX74" s="3">
        <v>417</v>
      </c>
      <c r="AY74" s="3">
        <v>543</v>
      </c>
      <c r="AZ74" s="3">
        <v>1</v>
      </c>
      <c r="BA74" s="3">
        <v>3</v>
      </c>
      <c r="BB74" s="3">
        <v>0</v>
      </c>
      <c r="BC74" s="3">
        <v>1</v>
      </c>
      <c r="BD74" s="9">
        <f>SUM(AW74:BC74)</f>
        <v>1044</v>
      </c>
      <c r="BE74" s="3" t="s">
        <v>789</v>
      </c>
      <c r="BF74" s="3" t="s">
        <v>790</v>
      </c>
      <c r="BG74" s="3" t="s">
        <v>791</v>
      </c>
      <c r="BH74" s="3"/>
      <c r="BI74" s="10">
        <v>23</v>
      </c>
      <c r="BJ74" s="10">
        <v>304</v>
      </c>
      <c r="BK74" s="10">
        <v>543</v>
      </c>
      <c r="BL74" s="10">
        <v>2</v>
      </c>
      <c r="BM74" s="10">
        <v>2</v>
      </c>
      <c r="BN74" s="10">
        <v>0</v>
      </c>
      <c r="BO74" s="10">
        <v>1</v>
      </c>
      <c r="BP74" s="6">
        <f>BI74+BJ74+BK74+BL74+BM74+BN74+BO74</f>
        <v>875</v>
      </c>
      <c r="BQ74" s="10" t="s">
        <v>792</v>
      </c>
      <c r="BR74" s="10" t="s">
        <v>793</v>
      </c>
      <c r="BS74" s="10" t="s">
        <v>794</v>
      </c>
      <c r="BT74" s="3"/>
    </row>
    <row r="75" spans="1:72" ht="94.5" customHeight="1" x14ac:dyDescent="0.25">
      <c r="A75" s="3">
        <v>74</v>
      </c>
      <c r="B75" s="4" t="s">
        <v>745</v>
      </c>
      <c r="C75" s="4" t="s">
        <v>750</v>
      </c>
      <c r="D75" s="4" t="s">
        <v>751</v>
      </c>
      <c r="E75" s="4" t="s">
        <v>549</v>
      </c>
      <c r="F75" s="4" t="s">
        <v>550</v>
      </c>
      <c r="G75" s="4" t="s">
        <v>795</v>
      </c>
      <c r="H75" s="4" t="s">
        <v>796</v>
      </c>
      <c r="I75" s="4" t="s">
        <v>797</v>
      </c>
      <c r="J75" s="4" t="s">
        <v>798</v>
      </c>
      <c r="K75" s="4" t="s">
        <v>799</v>
      </c>
      <c r="L75" s="4" t="s">
        <v>800</v>
      </c>
      <c r="M75" s="4"/>
      <c r="N75" s="4"/>
      <c r="O75" s="4"/>
      <c r="P75" s="4"/>
      <c r="Q75" s="4"/>
      <c r="R75" s="4"/>
      <c r="S75" s="4" t="s">
        <v>83</v>
      </c>
      <c r="T75" s="4" t="s">
        <v>801</v>
      </c>
      <c r="U75" s="4" t="s">
        <v>802</v>
      </c>
      <c r="V75" s="5">
        <v>40015531162</v>
      </c>
      <c r="W75" s="4">
        <v>50000000000</v>
      </c>
      <c r="X75" s="4" t="s">
        <v>86</v>
      </c>
      <c r="Y75" s="13">
        <v>0</v>
      </c>
      <c r="Z75" s="12">
        <v>0</v>
      </c>
      <c r="AA75" s="3"/>
      <c r="AB75" s="7"/>
      <c r="AC75" s="7"/>
      <c r="AD75" s="6"/>
      <c r="AE75" s="6"/>
      <c r="AF75" s="12">
        <v>0</v>
      </c>
      <c r="AG75" s="10" t="s">
        <v>803</v>
      </c>
      <c r="AH75" s="10" t="s">
        <v>804</v>
      </c>
      <c r="AI75" s="3" t="s">
        <v>805</v>
      </c>
      <c r="AJ75" s="3"/>
      <c r="AK75" s="3">
        <v>0</v>
      </c>
      <c r="AL75" s="3">
        <v>0</v>
      </c>
      <c r="AM75" s="3"/>
      <c r="AN75" s="3"/>
      <c r="AO75" s="3"/>
      <c r="AP75" s="3"/>
      <c r="AQ75" s="3"/>
      <c r="AR75" s="12">
        <v>0</v>
      </c>
      <c r="AS75" s="3" t="s">
        <v>806</v>
      </c>
      <c r="AT75" s="3" t="s">
        <v>804</v>
      </c>
      <c r="AU75" s="3"/>
      <c r="AV75" s="3"/>
      <c r="AW75" s="3">
        <v>0</v>
      </c>
      <c r="AX75" s="3">
        <v>0</v>
      </c>
      <c r="AY75" s="3"/>
      <c r="AZ75" s="3"/>
      <c r="BA75" s="3"/>
      <c r="BB75" s="3"/>
      <c r="BC75" s="3"/>
      <c r="BD75" s="9" t="s">
        <v>807</v>
      </c>
      <c r="BE75" s="3" t="s">
        <v>808</v>
      </c>
      <c r="BF75" s="3" t="s">
        <v>809</v>
      </c>
      <c r="BG75" s="3" t="s">
        <v>810</v>
      </c>
      <c r="BH75" s="3"/>
      <c r="BI75" s="17">
        <v>425259549</v>
      </c>
      <c r="BJ75" s="3"/>
      <c r="BK75" s="3"/>
      <c r="BL75" s="3"/>
      <c r="BM75" s="3"/>
      <c r="BN75" s="3"/>
      <c r="BO75" s="3"/>
      <c r="BP75" s="6">
        <f>BI75</f>
        <v>425259549</v>
      </c>
      <c r="BQ75" s="10" t="s">
        <v>811</v>
      </c>
      <c r="BR75" s="10" t="s">
        <v>812</v>
      </c>
      <c r="BS75" s="10" t="s">
        <v>813</v>
      </c>
      <c r="BT75" s="3"/>
    </row>
    <row r="76" spans="1:72" ht="98.25" customHeight="1" x14ac:dyDescent="0.25">
      <c r="A76" s="3">
        <v>75</v>
      </c>
      <c r="B76" s="4" t="s">
        <v>745</v>
      </c>
      <c r="C76" s="4" t="s">
        <v>750</v>
      </c>
      <c r="D76" s="4" t="s">
        <v>751</v>
      </c>
      <c r="E76" s="4" t="s">
        <v>549</v>
      </c>
      <c r="F76" s="4" t="s">
        <v>550</v>
      </c>
      <c r="G76" s="4" t="s">
        <v>814</v>
      </c>
      <c r="H76" s="4" t="s">
        <v>815</v>
      </c>
      <c r="I76" s="4" t="s">
        <v>816</v>
      </c>
      <c r="J76" s="4" t="s">
        <v>817</v>
      </c>
      <c r="K76" s="4" t="s">
        <v>756</v>
      </c>
      <c r="L76" s="4" t="s">
        <v>818</v>
      </c>
      <c r="M76" s="4" t="s">
        <v>819</v>
      </c>
      <c r="N76" s="4" t="s">
        <v>820</v>
      </c>
      <c r="O76" s="4" t="s">
        <v>821</v>
      </c>
      <c r="P76" s="4" t="s">
        <v>822</v>
      </c>
      <c r="Q76" s="4"/>
      <c r="R76" s="4"/>
      <c r="S76" s="4" t="s">
        <v>83</v>
      </c>
      <c r="T76" s="4" t="s">
        <v>105</v>
      </c>
      <c r="U76" s="4" t="s">
        <v>823</v>
      </c>
      <c r="V76" s="5">
        <v>1070</v>
      </c>
      <c r="W76" s="4">
        <v>1200</v>
      </c>
      <c r="X76" s="4" t="s">
        <v>86</v>
      </c>
      <c r="Y76" s="13">
        <v>20</v>
      </c>
      <c r="Z76" s="12">
        <v>60</v>
      </c>
      <c r="AA76" s="10">
        <v>23</v>
      </c>
      <c r="AB76" s="10">
        <v>106</v>
      </c>
      <c r="AC76" s="10">
        <v>1</v>
      </c>
      <c r="AD76" s="6"/>
      <c r="AE76" s="6"/>
      <c r="AF76" s="6">
        <f>SUM(Y76:AC76)</f>
        <v>210</v>
      </c>
      <c r="AG76" s="10" t="s">
        <v>824</v>
      </c>
      <c r="AH76" s="10" t="s">
        <v>825</v>
      </c>
      <c r="AI76" s="10" t="s">
        <v>826</v>
      </c>
      <c r="AJ76" s="3"/>
      <c r="AK76" s="3">
        <v>13</v>
      </c>
      <c r="AL76" s="18">
        <v>51</v>
      </c>
      <c r="AM76" s="18">
        <v>14</v>
      </c>
      <c r="AN76" s="18">
        <v>65</v>
      </c>
      <c r="AO76" s="3">
        <v>3</v>
      </c>
      <c r="AP76" s="3"/>
      <c r="AQ76" s="3"/>
      <c r="AR76" s="6">
        <f>SUM(AK76:AO76)</f>
        <v>146</v>
      </c>
      <c r="AS76" s="3" t="s">
        <v>827</v>
      </c>
      <c r="AT76" s="3" t="s">
        <v>825</v>
      </c>
      <c r="AU76" s="3" t="s">
        <v>828</v>
      </c>
      <c r="AV76" s="3"/>
      <c r="AW76" s="19">
        <v>18</v>
      </c>
      <c r="AX76" s="18">
        <v>41</v>
      </c>
      <c r="AY76" s="18">
        <v>13</v>
      </c>
      <c r="AZ76" s="18">
        <v>65</v>
      </c>
      <c r="BA76" s="18">
        <v>3</v>
      </c>
      <c r="BB76" s="3"/>
      <c r="BC76" s="3"/>
      <c r="BD76" s="9">
        <f t="shared" ref="BD76:BD77" si="24">SUM(AW76:BA76)</f>
        <v>140</v>
      </c>
      <c r="BE76" s="3" t="s">
        <v>829</v>
      </c>
      <c r="BF76" s="3" t="s">
        <v>830</v>
      </c>
      <c r="BG76" s="3" t="s">
        <v>831</v>
      </c>
      <c r="BH76" s="3"/>
      <c r="BI76" s="10">
        <v>5</v>
      </c>
      <c r="BJ76" s="10">
        <v>36</v>
      </c>
      <c r="BK76" s="10">
        <v>14</v>
      </c>
      <c r="BL76" s="10">
        <v>59</v>
      </c>
      <c r="BM76" s="10">
        <v>2</v>
      </c>
      <c r="BN76" s="3"/>
      <c r="BO76" s="3"/>
      <c r="BP76" s="6">
        <f>BI76+BJ76+BK76+BL76+BM76</f>
        <v>116</v>
      </c>
      <c r="BQ76" s="10" t="s">
        <v>832</v>
      </c>
      <c r="BR76" s="10" t="s">
        <v>833</v>
      </c>
      <c r="BS76" s="10" t="s">
        <v>834</v>
      </c>
      <c r="BT76" s="3"/>
    </row>
    <row r="77" spans="1:72" ht="100.5" customHeight="1" x14ac:dyDescent="0.25">
      <c r="A77" s="3">
        <v>76</v>
      </c>
      <c r="B77" s="4" t="s">
        <v>745</v>
      </c>
      <c r="C77" s="4" t="s">
        <v>750</v>
      </c>
      <c r="D77" s="4" t="s">
        <v>751</v>
      </c>
      <c r="E77" s="4" t="s">
        <v>549</v>
      </c>
      <c r="F77" s="4" t="s">
        <v>550</v>
      </c>
      <c r="G77" s="4" t="s">
        <v>835</v>
      </c>
      <c r="H77" s="4" t="s">
        <v>836</v>
      </c>
      <c r="I77" s="4" t="s">
        <v>837</v>
      </c>
      <c r="J77" s="4" t="s">
        <v>838</v>
      </c>
      <c r="K77" s="4" t="s">
        <v>799</v>
      </c>
      <c r="L77" s="4" t="s">
        <v>839</v>
      </c>
      <c r="M77" s="4"/>
      <c r="N77" s="4"/>
      <c r="O77" s="4"/>
      <c r="P77" s="4"/>
      <c r="Q77" s="4"/>
      <c r="R77" s="4"/>
      <c r="S77" s="4" t="s">
        <v>83</v>
      </c>
      <c r="T77" s="4" t="s">
        <v>105</v>
      </c>
      <c r="U77" s="4" t="s">
        <v>823</v>
      </c>
      <c r="V77" s="5">
        <v>13</v>
      </c>
      <c r="W77" s="4">
        <v>11</v>
      </c>
      <c r="X77" s="4" t="s">
        <v>219</v>
      </c>
      <c r="Y77" s="13">
        <v>2</v>
      </c>
      <c r="Z77" s="6"/>
      <c r="AA77" s="3"/>
      <c r="AB77" s="7"/>
      <c r="AC77" s="7"/>
      <c r="AD77" s="6"/>
      <c r="AE77" s="6"/>
      <c r="AF77" s="12">
        <v>2</v>
      </c>
      <c r="AG77" s="10" t="s">
        <v>840</v>
      </c>
      <c r="AH77" s="10" t="s">
        <v>841</v>
      </c>
      <c r="AI77" s="10" t="s">
        <v>842</v>
      </c>
      <c r="AJ77" s="3"/>
      <c r="AK77" s="3">
        <v>1</v>
      </c>
      <c r="AL77" s="3"/>
      <c r="AM77" s="3"/>
      <c r="AN77" s="3"/>
      <c r="AO77" s="3"/>
      <c r="AP77" s="3"/>
      <c r="AQ77" s="3"/>
      <c r="AR77" s="12">
        <v>1</v>
      </c>
      <c r="AS77" s="3" t="s">
        <v>843</v>
      </c>
      <c r="AT77" s="3" t="s">
        <v>841</v>
      </c>
      <c r="AU77" s="3"/>
      <c r="AV77" s="3"/>
      <c r="AW77" s="3">
        <v>1</v>
      </c>
      <c r="AX77" s="3"/>
      <c r="AY77" s="3"/>
      <c r="AZ77" s="3"/>
      <c r="BA77" s="3"/>
      <c r="BB77" s="3"/>
      <c r="BC77" s="3"/>
      <c r="BD77" s="20">
        <f t="shared" si="24"/>
        <v>1</v>
      </c>
      <c r="BE77" s="3" t="s">
        <v>844</v>
      </c>
      <c r="BF77" s="3" t="s">
        <v>845</v>
      </c>
      <c r="BG77" s="3" t="s">
        <v>846</v>
      </c>
      <c r="BH77" s="3"/>
      <c r="BI77" s="10">
        <v>1</v>
      </c>
      <c r="BJ77" s="3"/>
      <c r="BK77" s="3"/>
      <c r="BL77" s="3"/>
      <c r="BM77" s="3"/>
      <c r="BN77" s="3"/>
      <c r="BO77" s="3"/>
      <c r="BP77" s="12">
        <f t="shared" ref="BP77:BP78" si="25">BI77</f>
        <v>1</v>
      </c>
      <c r="BQ77" s="10" t="s">
        <v>847</v>
      </c>
      <c r="BR77" s="10" t="s">
        <v>848</v>
      </c>
      <c r="BS77" s="10" t="s">
        <v>849</v>
      </c>
      <c r="BT77" s="3"/>
    </row>
    <row r="78" spans="1:72" ht="124.5" customHeight="1" x14ac:dyDescent="0.25">
      <c r="A78" s="3">
        <v>77</v>
      </c>
      <c r="B78" s="4" t="s">
        <v>745</v>
      </c>
      <c r="C78" s="4" t="s">
        <v>750</v>
      </c>
      <c r="D78" s="4" t="s">
        <v>751</v>
      </c>
      <c r="E78" s="4" t="s">
        <v>549</v>
      </c>
      <c r="F78" s="4" t="s">
        <v>550</v>
      </c>
      <c r="G78" s="4" t="s">
        <v>850</v>
      </c>
      <c r="H78" s="4" t="s">
        <v>851</v>
      </c>
      <c r="I78" s="4" t="s">
        <v>852</v>
      </c>
      <c r="J78" s="4" t="s">
        <v>853</v>
      </c>
      <c r="K78" s="4" t="s">
        <v>799</v>
      </c>
      <c r="L78" s="4" t="s">
        <v>854</v>
      </c>
      <c r="M78" s="4"/>
      <c r="N78" s="4"/>
      <c r="O78" s="4"/>
      <c r="P78" s="4"/>
      <c r="Q78" s="4"/>
      <c r="R78" s="4"/>
      <c r="S78" s="4" t="s">
        <v>83</v>
      </c>
      <c r="T78" s="4" t="s">
        <v>105</v>
      </c>
      <c r="U78" s="4" t="s">
        <v>823</v>
      </c>
      <c r="V78" s="5">
        <v>68676</v>
      </c>
      <c r="W78" s="4">
        <v>69000</v>
      </c>
      <c r="X78" s="4" t="s">
        <v>501</v>
      </c>
      <c r="Y78" s="13">
        <v>3024</v>
      </c>
      <c r="Z78" s="6"/>
      <c r="AA78" s="3"/>
      <c r="AB78" s="7"/>
      <c r="AC78" s="7"/>
      <c r="AD78" s="6"/>
      <c r="AE78" s="6"/>
      <c r="AF78" s="12">
        <v>3024</v>
      </c>
      <c r="AG78" s="10" t="s">
        <v>855</v>
      </c>
      <c r="AH78" s="10" t="s">
        <v>856</v>
      </c>
      <c r="AI78" s="10" t="s">
        <v>130</v>
      </c>
      <c r="AJ78" s="3"/>
      <c r="AK78" s="3">
        <v>3951</v>
      </c>
      <c r="AL78" s="3"/>
      <c r="AM78" s="3"/>
      <c r="AN78" s="3"/>
      <c r="AO78" s="3"/>
      <c r="AP78" s="3"/>
      <c r="AQ78" s="3"/>
      <c r="AR78" s="3">
        <f>AK78</f>
        <v>3951</v>
      </c>
      <c r="AS78" s="3" t="s">
        <v>857</v>
      </c>
      <c r="AT78" s="3" t="s">
        <v>858</v>
      </c>
      <c r="AU78" s="3" t="s">
        <v>859</v>
      </c>
      <c r="AV78" s="3"/>
      <c r="AW78" s="3">
        <v>17721</v>
      </c>
      <c r="AX78" s="3"/>
      <c r="AY78" s="3"/>
      <c r="AZ78" s="3"/>
      <c r="BA78" s="3"/>
      <c r="BB78" s="3"/>
      <c r="BC78" s="3"/>
      <c r="BD78" s="9">
        <f>AW78</f>
        <v>17721</v>
      </c>
      <c r="BE78" s="15" t="s">
        <v>860</v>
      </c>
      <c r="BF78" s="3" t="s">
        <v>861</v>
      </c>
      <c r="BG78" s="3" t="s">
        <v>862</v>
      </c>
      <c r="BH78" s="3"/>
      <c r="BI78" s="10">
        <v>10173</v>
      </c>
      <c r="BJ78" s="3"/>
      <c r="BK78" s="3"/>
      <c r="BL78" s="3"/>
      <c r="BM78" s="3"/>
      <c r="BN78" s="3"/>
      <c r="BO78" s="3"/>
      <c r="BP78" s="6">
        <f t="shared" si="25"/>
        <v>10173</v>
      </c>
      <c r="BQ78" s="10" t="s">
        <v>863</v>
      </c>
      <c r="BR78" s="10" t="s">
        <v>864</v>
      </c>
      <c r="BS78" s="10" t="s">
        <v>865</v>
      </c>
      <c r="BT78" s="3"/>
    </row>
    <row r="79" spans="1:72" ht="104.25" customHeight="1" x14ac:dyDescent="0.25">
      <c r="A79" s="3">
        <v>78</v>
      </c>
      <c r="B79" s="4" t="s">
        <v>866</v>
      </c>
      <c r="C79" s="4" t="s">
        <v>867</v>
      </c>
      <c r="D79" s="4" t="s">
        <v>868</v>
      </c>
      <c r="E79" s="4" t="s">
        <v>654</v>
      </c>
      <c r="F79" s="4" t="s">
        <v>74</v>
      </c>
      <c r="G79" s="4" t="s">
        <v>869</v>
      </c>
      <c r="H79" s="4" t="s">
        <v>870</v>
      </c>
      <c r="I79" s="4" t="s">
        <v>871</v>
      </c>
      <c r="J79" s="4" t="s">
        <v>872</v>
      </c>
      <c r="K79" s="4" t="s">
        <v>799</v>
      </c>
      <c r="L79" s="4" t="s">
        <v>873</v>
      </c>
      <c r="M79" s="4" t="s">
        <v>874</v>
      </c>
      <c r="N79" s="4"/>
      <c r="O79" s="4"/>
      <c r="P79" s="4"/>
      <c r="Q79" s="4"/>
      <c r="R79" s="4"/>
      <c r="S79" s="4" t="s">
        <v>83</v>
      </c>
      <c r="T79" s="4" t="s">
        <v>105</v>
      </c>
      <c r="U79" s="4" t="s">
        <v>875</v>
      </c>
      <c r="V79" s="5">
        <v>14125</v>
      </c>
      <c r="W79" s="4">
        <v>4200</v>
      </c>
      <c r="X79" s="4" t="s">
        <v>86</v>
      </c>
      <c r="Y79" s="4">
        <f>79+221</f>
        <v>300</v>
      </c>
      <c r="Z79" s="6">
        <f>6+49</f>
        <v>55</v>
      </c>
      <c r="AA79" s="3"/>
      <c r="AB79" s="7"/>
      <c r="AC79" s="7"/>
      <c r="AD79" s="6"/>
      <c r="AE79" s="6"/>
      <c r="AF79" s="6">
        <f>SUM(Y79:Z79)/$W$79</f>
        <v>8.4523809523809529E-2</v>
      </c>
      <c r="AG79" s="21" t="s">
        <v>876</v>
      </c>
      <c r="AH79" s="21" t="s">
        <v>877</v>
      </c>
      <c r="AI79" s="21" t="s">
        <v>878</v>
      </c>
      <c r="AJ79" s="3"/>
      <c r="AK79" s="3">
        <v>208</v>
      </c>
      <c r="AL79" s="3">
        <v>211</v>
      </c>
      <c r="AM79" s="3"/>
      <c r="AN79" s="3"/>
      <c r="AO79" s="3"/>
      <c r="AP79" s="3"/>
      <c r="AQ79" s="3"/>
      <c r="AR79" s="3">
        <f>SUM(AK79:AL79)/$W$79</f>
        <v>9.976190476190476E-2</v>
      </c>
      <c r="AS79" s="3" t="s">
        <v>879</v>
      </c>
      <c r="AT79" s="3" t="s">
        <v>880</v>
      </c>
      <c r="AU79" s="3" t="s">
        <v>881</v>
      </c>
      <c r="AV79" s="3"/>
      <c r="AW79" s="3">
        <v>197</v>
      </c>
      <c r="AX79" s="3">
        <v>248</v>
      </c>
      <c r="AY79" s="3"/>
      <c r="AZ79" s="3"/>
      <c r="BA79" s="3"/>
      <c r="BB79" s="3"/>
      <c r="BC79" s="3"/>
      <c r="BD79" s="9">
        <f>SUM(AW79:AX79)/$W$79</f>
        <v>0.10595238095238095</v>
      </c>
      <c r="BE79" s="3" t="s">
        <v>882</v>
      </c>
      <c r="BF79" s="3" t="s">
        <v>883</v>
      </c>
      <c r="BG79" s="3"/>
      <c r="BH79" s="3"/>
      <c r="BI79" s="10">
        <v>219</v>
      </c>
      <c r="BJ79" s="10">
        <v>300</v>
      </c>
      <c r="BK79" s="3"/>
      <c r="BL79" s="3"/>
      <c r="BM79" s="3"/>
      <c r="BN79" s="3"/>
      <c r="BO79" s="3"/>
      <c r="BP79" s="6">
        <f>SUM(BI79:BJ79)/$W$79</f>
        <v>0.12357142857142857</v>
      </c>
      <c r="BQ79" s="10" t="s">
        <v>884</v>
      </c>
      <c r="BR79" s="10" t="s">
        <v>885</v>
      </c>
      <c r="BS79" s="3"/>
      <c r="BT79" s="3"/>
    </row>
    <row r="80" spans="1:72" ht="98.25" customHeight="1" x14ac:dyDescent="0.25">
      <c r="A80" s="3">
        <v>79</v>
      </c>
      <c r="B80" s="4" t="s">
        <v>866</v>
      </c>
      <c r="C80" s="4" t="s">
        <v>867</v>
      </c>
      <c r="D80" s="4" t="s">
        <v>868</v>
      </c>
      <c r="E80" s="4" t="s">
        <v>668</v>
      </c>
      <c r="F80" s="4" t="s">
        <v>886</v>
      </c>
      <c r="G80" s="15" t="s">
        <v>887</v>
      </c>
      <c r="H80" s="4" t="s">
        <v>888</v>
      </c>
      <c r="I80" s="4" t="s">
        <v>889</v>
      </c>
      <c r="J80" s="4" t="s">
        <v>872</v>
      </c>
      <c r="K80" s="4" t="s">
        <v>799</v>
      </c>
      <c r="L80" s="4" t="s">
        <v>890</v>
      </c>
      <c r="M80" s="4" t="s">
        <v>891</v>
      </c>
      <c r="N80" s="4"/>
      <c r="O80" s="4"/>
      <c r="P80" s="4"/>
      <c r="Q80" s="4"/>
      <c r="R80" s="4"/>
      <c r="S80" s="4" t="s">
        <v>83</v>
      </c>
      <c r="T80" s="4" t="s">
        <v>105</v>
      </c>
      <c r="U80" s="4" t="s">
        <v>892</v>
      </c>
      <c r="V80" s="5">
        <v>4612</v>
      </c>
      <c r="W80" s="4">
        <v>2279</v>
      </c>
      <c r="X80" s="4" t="s">
        <v>86</v>
      </c>
      <c r="Y80" s="4">
        <v>25</v>
      </c>
      <c r="Z80" s="6">
        <v>95</v>
      </c>
      <c r="AA80" s="3"/>
      <c r="AB80" s="7"/>
      <c r="AC80" s="7"/>
      <c r="AD80" s="6"/>
      <c r="AE80" s="6"/>
      <c r="AF80" s="6">
        <f>SUM(Y80:Z80)/2279</f>
        <v>5.2654673102237821E-2</v>
      </c>
      <c r="AG80" s="3" t="s">
        <v>893</v>
      </c>
      <c r="AH80" s="3" t="s">
        <v>894</v>
      </c>
      <c r="AI80" s="3" t="s">
        <v>895</v>
      </c>
      <c r="AJ80" s="3"/>
      <c r="AK80" s="3">
        <v>37</v>
      </c>
      <c r="AL80" s="3">
        <v>107</v>
      </c>
      <c r="AM80" s="3"/>
      <c r="AN80" s="3"/>
      <c r="AO80" s="3"/>
      <c r="AP80" s="3"/>
      <c r="AQ80" s="3"/>
      <c r="AR80" s="3">
        <f>SUM(AK80:AL80)/2279</f>
        <v>6.3185607722685388E-2</v>
      </c>
      <c r="AS80" s="3" t="s">
        <v>896</v>
      </c>
      <c r="AT80" s="3" t="s">
        <v>897</v>
      </c>
      <c r="AU80" s="3" t="s">
        <v>898</v>
      </c>
      <c r="AV80" s="3"/>
      <c r="AW80" s="3">
        <v>41</v>
      </c>
      <c r="AX80" s="3">
        <v>192</v>
      </c>
      <c r="AY80" s="3"/>
      <c r="AZ80" s="3"/>
      <c r="BA80" s="3"/>
      <c r="BB80" s="3"/>
      <c r="BC80" s="3"/>
      <c r="BD80" s="9">
        <f>SUM(AW80:AX80)/2279</f>
        <v>0.10223782360684511</v>
      </c>
      <c r="BE80" s="3" t="s">
        <v>899</v>
      </c>
      <c r="BF80" s="3" t="s">
        <v>900</v>
      </c>
      <c r="BG80" s="3" t="s">
        <v>901</v>
      </c>
      <c r="BH80" s="3"/>
      <c r="BI80" s="10">
        <v>77</v>
      </c>
      <c r="BJ80" s="10">
        <v>479</v>
      </c>
      <c r="BK80" s="3"/>
      <c r="BL80" s="3"/>
      <c r="BM80" s="3"/>
      <c r="BN80" s="3"/>
      <c r="BO80" s="3"/>
      <c r="BP80" s="6">
        <f>SUM(BI80:BJ80)/2279</f>
        <v>0.24396665204036858</v>
      </c>
      <c r="BQ80" s="10" t="s">
        <v>902</v>
      </c>
      <c r="BR80" s="10" t="s">
        <v>903</v>
      </c>
      <c r="BS80" s="10" t="s">
        <v>904</v>
      </c>
      <c r="BT80" s="3"/>
    </row>
    <row r="81" spans="1:72" ht="106.5" customHeight="1" x14ac:dyDescent="0.25">
      <c r="A81" s="22">
        <v>80</v>
      </c>
      <c r="B81" s="23" t="s">
        <v>866</v>
      </c>
      <c r="C81" s="23" t="s">
        <v>867</v>
      </c>
      <c r="D81" s="23" t="s">
        <v>868</v>
      </c>
      <c r="E81" s="23" t="s">
        <v>668</v>
      </c>
      <c r="F81" s="23" t="s">
        <v>97</v>
      </c>
      <c r="G81" s="24" t="s">
        <v>905</v>
      </c>
      <c r="H81" s="23" t="s">
        <v>906</v>
      </c>
      <c r="I81" s="23" t="s">
        <v>907</v>
      </c>
      <c r="J81" s="23" t="s">
        <v>872</v>
      </c>
      <c r="K81" s="23" t="s">
        <v>799</v>
      </c>
      <c r="L81" s="23" t="s">
        <v>908</v>
      </c>
      <c r="M81" s="23" t="s">
        <v>909</v>
      </c>
      <c r="N81" s="23"/>
      <c r="O81" s="23"/>
      <c r="P81" s="23"/>
      <c r="Q81" s="23"/>
      <c r="R81" s="23"/>
      <c r="S81" s="23" t="s">
        <v>83</v>
      </c>
      <c r="T81" s="23" t="s">
        <v>910</v>
      </c>
      <c r="U81" s="23" t="s">
        <v>892</v>
      </c>
      <c r="V81" s="25">
        <v>7341</v>
      </c>
      <c r="W81" s="23"/>
      <c r="X81" s="23" t="s">
        <v>86</v>
      </c>
      <c r="Y81" s="23">
        <v>187</v>
      </c>
      <c r="Z81" s="26">
        <v>302</v>
      </c>
      <c r="AA81" s="22"/>
      <c r="AB81" s="27"/>
      <c r="AC81" s="27"/>
      <c r="AD81" s="26"/>
      <c r="AE81" s="26"/>
      <c r="AF81" s="26">
        <f>SUM(Y81:Z81)</f>
        <v>489</v>
      </c>
      <c r="AG81" s="22" t="s">
        <v>911</v>
      </c>
      <c r="AH81" s="22" t="s">
        <v>912</v>
      </c>
      <c r="AI81" s="22" t="s">
        <v>913</v>
      </c>
      <c r="AJ81" s="22"/>
      <c r="AK81" s="22">
        <v>246</v>
      </c>
      <c r="AL81" s="22">
        <v>385</v>
      </c>
      <c r="AM81" s="22"/>
      <c r="AN81" s="22"/>
      <c r="AO81" s="22"/>
      <c r="AP81" s="22"/>
      <c r="AQ81" s="22"/>
      <c r="AR81" s="22">
        <f>SUM(AK81:AL81)</f>
        <v>631</v>
      </c>
      <c r="AS81" s="22" t="s">
        <v>914</v>
      </c>
      <c r="AT81" s="22" t="s">
        <v>915</v>
      </c>
      <c r="AU81" s="22" t="s">
        <v>916</v>
      </c>
      <c r="AV81" s="22"/>
      <c r="AW81" s="22">
        <v>259</v>
      </c>
      <c r="AX81" s="22">
        <v>342</v>
      </c>
      <c r="AY81" s="22"/>
      <c r="AZ81" s="22"/>
      <c r="BA81" s="22"/>
      <c r="BB81" s="22"/>
      <c r="BC81" s="22"/>
      <c r="BD81" s="28">
        <f>SUM(AW81:AX81)</f>
        <v>601</v>
      </c>
      <c r="BE81" s="22" t="s">
        <v>917</v>
      </c>
      <c r="BF81" s="22" t="s">
        <v>918</v>
      </c>
      <c r="BG81" s="22"/>
      <c r="BH81" s="22"/>
      <c r="BI81" s="29">
        <v>243</v>
      </c>
      <c r="BJ81" s="29">
        <v>322</v>
      </c>
      <c r="BK81" s="22"/>
      <c r="BL81" s="22"/>
      <c r="BM81" s="22"/>
      <c r="BN81" s="22"/>
      <c r="BO81" s="22"/>
      <c r="BP81" s="26">
        <f>SUM(BI81:BJ81)</f>
        <v>565</v>
      </c>
      <c r="BQ81" s="29" t="s">
        <v>919</v>
      </c>
      <c r="BR81" s="29" t="s">
        <v>920</v>
      </c>
      <c r="BS81" s="29" t="s">
        <v>130</v>
      </c>
      <c r="BT81" s="22"/>
    </row>
    <row r="82" spans="1:72" ht="106.5" customHeight="1" x14ac:dyDescent="0.25">
      <c r="A82" s="22">
        <v>81</v>
      </c>
      <c r="B82" s="23" t="s">
        <v>866</v>
      </c>
      <c r="C82" s="23" t="s">
        <v>867</v>
      </c>
      <c r="D82" s="23" t="s">
        <v>868</v>
      </c>
      <c r="E82" s="23" t="s">
        <v>668</v>
      </c>
      <c r="F82" s="23" t="s">
        <v>97</v>
      </c>
      <c r="G82" s="24" t="s">
        <v>921</v>
      </c>
      <c r="H82" s="23" t="s">
        <v>922</v>
      </c>
      <c r="I82" s="23" t="s">
        <v>923</v>
      </c>
      <c r="J82" s="23"/>
      <c r="K82" s="23" t="s">
        <v>924</v>
      </c>
      <c r="L82" s="23" t="s">
        <v>925</v>
      </c>
      <c r="M82" s="23" t="s">
        <v>926</v>
      </c>
      <c r="N82" s="23"/>
      <c r="O82" s="23"/>
      <c r="P82" s="23"/>
      <c r="Q82" s="23"/>
      <c r="R82" s="23"/>
      <c r="S82" s="23" t="s">
        <v>83</v>
      </c>
      <c r="T82" s="23" t="s">
        <v>910</v>
      </c>
      <c r="U82" s="23" t="s">
        <v>927</v>
      </c>
      <c r="V82" s="25">
        <v>238</v>
      </c>
      <c r="W82" s="23"/>
      <c r="X82" s="23" t="s">
        <v>86</v>
      </c>
      <c r="Y82" s="23">
        <v>21</v>
      </c>
      <c r="Z82" s="26">
        <v>69</v>
      </c>
      <c r="AA82" s="22"/>
      <c r="AB82" s="27"/>
      <c r="AC82" s="27"/>
      <c r="AD82" s="26"/>
      <c r="AE82" s="26"/>
      <c r="AF82" s="26">
        <f>SUM(Y82/Z82)</f>
        <v>0.30434782608695654</v>
      </c>
      <c r="AG82" s="22" t="s">
        <v>928</v>
      </c>
      <c r="AH82" s="22" t="s">
        <v>929</v>
      </c>
      <c r="AI82" s="22"/>
      <c r="AJ82" s="22"/>
      <c r="AK82" s="22">
        <v>9</v>
      </c>
      <c r="AL82" s="22">
        <v>44</v>
      </c>
      <c r="AM82" s="22"/>
      <c r="AN82" s="22"/>
      <c r="AO82" s="22"/>
      <c r="AP82" s="22"/>
      <c r="AQ82" s="22"/>
      <c r="AR82" s="30">
        <f>SUM(AK82/AL82)</f>
        <v>0.20454545454545456</v>
      </c>
      <c r="AS82" s="22" t="s">
        <v>930</v>
      </c>
      <c r="AT82" s="22" t="s">
        <v>931</v>
      </c>
      <c r="AU82" s="22" t="s">
        <v>916</v>
      </c>
      <c r="AV82" s="22"/>
      <c r="AW82" s="22">
        <v>24</v>
      </c>
      <c r="AX82" s="22">
        <v>113</v>
      </c>
      <c r="AY82" s="22"/>
      <c r="AZ82" s="22"/>
      <c r="BA82" s="22"/>
      <c r="BB82" s="22"/>
      <c r="BC82" s="22"/>
      <c r="BD82" s="28">
        <f>SUM(AW82/AX82)</f>
        <v>0.21238938053097345</v>
      </c>
      <c r="BE82" s="22" t="s">
        <v>932</v>
      </c>
      <c r="BF82" s="22" t="s">
        <v>933</v>
      </c>
      <c r="BG82" s="22"/>
      <c r="BH82" s="22"/>
      <c r="BI82" s="29">
        <v>32</v>
      </c>
      <c r="BJ82" s="29">
        <v>133</v>
      </c>
      <c r="BK82" s="22"/>
      <c r="BL82" s="22"/>
      <c r="BM82" s="22"/>
      <c r="BN82" s="22"/>
      <c r="BO82" s="22"/>
      <c r="BP82" s="26">
        <f>BI82+BJ82</f>
        <v>165</v>
      </c>
      <c r="BQ82" s="29" t="s">
        <v>934</v>
      </c>
      <c r="BR82" s="29" t="s">
        <v>933</v>
      </c>
      <c r="BS82" s="29" t="s">
        <v>130</v>
      </c>
      <c r="BT82" s="22"/>
    </row>
    <row r="83" spans="1:72" ht="106.5" customHeight="1" x14ac:dyDescent="0.25">
      <c r="A83" s="22">
        <v>82</v>
      </c>
      <c r="B83" s="23" t="s">
        <v>866</v>
      </c>
      <c r="C83" s="23" t="s">
        <v>867</v>
      </c>
      <c r="D83" s="23" t="s">
        <v>868</v>
      </c>
      <c r="E83" s="23" t="s">
        <v>668</v>
      </c>
      <c r="F83" s="23" t="s">
        <v>97</v>
      </c>
      <c r="G83" s="24" t="s">
        <v>935</v>
      </c>
      <c r="H83" s="23" t="s">
        <v>936</v>
      </c>
      <c r="I83" s="23" t="s">
        <v>937</v>
      </c>
      <c r="J83" s="23" t="s">
        <v>938</v>
      </c>
      <c r="K83" s="23" t="s">
        <v>939</v>
      </c>
      <c r="L83" s="23" t="s">
        <v>940</v>
      </c>
      <c r="M83" s="23" t="s">
        <v>941</v>
      </c>
      <c r="N83" s="23" t="s">
        <v>942</v>
      </c>
      <c r="O83" s="23" t="s">
        <v>943</v>
      </c>
      <c r="P83" s="23" t="s">
        <v>944</v>
      </c>
      <c r="Q83" s="23" t="s">
        <v>944</v>
      </c>
      <c r="R83" s="23" t="s">
        <v>945</v>
      </c>
      <c r="S83" s="23" t="s">
        <v>83</v>
      </c>
      <c r="T83" s="23" t="s">
        <v>105</v>
      </c>
      <c r="U83" s="23" t="s">
        <v>946</v>
      </c>
      <c r="V83" s="25">
        <v>1367</v>
      </c>
      <c r="W83" s="23">
        <v>2021</v>
      </c>
      <c r="X83" s="23" t="s">
        <v>86</v>
      </c>
      <c r="Y83" s="23"/>
      <c r="Z83" s="26"/>
      <c r="AA83" s="22"/>
      <c r="AB83" s="27"/>
      <c r="AC83" s="27"/>
      <c r="AD83" s="26"/>
      <c r="AE83" s="26"/>
      <c r="AF83" s="26"/>
      <c r="AG83" s="22" t="s">
        <v>947</v>
      </c>
      <c r="AH83" s="22" t="s">
        <v>948</v>
      </c>
      <c r="AI83" s="22" t="s">
        <v>949</v>
      </c>
      <c r="AJ83" s="22"/>
      <c r="AK83" s="22">
        <v>0</v>
      </c>
      <c r="AL83" s="22">
        <v>0</v>
      </c>
      <c r="AM83" s="22">
        <v>0</v>
      </c>
      <c r="AN83" s="22">
        <v>0</v>
      </c>
      <c r="AO83" s="22">
        <v>0</v>
      </c>
      <c r="AP83" s="22">
        <v>0</v>
      </c>
      <c r="AQ83" s="22">
        <v>0</v>
      </c>
      <c r="AR83" s="22">
        <v>0</v>
      </c>
      <c r="AS83" s="22" t="s">
        <v>950</v>
      </c>
      <c r="AT83" s="22" t="s">
        <v>951</v>
      </c>
      <c r="AU83" s="22" t="s">
        <v>952</v>
      </c>
      <c r="AV83" s="22"/>
      <c r="AW83" s="22">
        <v>0</v>
      </c>
      <c r="AX83" s="22">
        <v>0</v>
      </c>
      <c r="AY83" s="22">
        <v>0</v>
      </c>
      <c r="AZ83" s="22">
        <v>0</v>
      </c>
      <c r="BA83" s="22">
        <v>0</v>
      </c>
      <c r="BB83" s="22">
        <v>0</v>
      </c>
      <c r="BC83" s="22">
        <v>0</v>
      </c>
      <c r="BD83" s="28" t="s">
        <v>665</v>
      </c>
      <c r="BE83" s="22" t="s">
        <v>953</v>
      </c>
      <c r="BF83" s="22" t="s">
        <v>954</v>
      </c>
      <c r="BG83" s="22" t="s">
        <v>952</v>
      </c>
      <c r="BH83" s="22"/>
      <c r="BI83" s="29">
        <v>0</v>
      </c>
      <c r="BJ83" s="29">
        <v>0</v>
      </c>
      <c r="BK83" s="29">
        <v>0</v>
      </c>
      <c r="BL83" s="22"/>
      <c r="BM83" s="22"/>
      <c r="BN83" s="22"/>
      <c r="BO83" s="22"/>
      <c r="BP83" s="31">
        <v>0</v>
      </c>
      <c r="BQ83" s="29" t="s">
        <v>955</v>
      </c>
      <c r="BR83" s="29" t="s">
        <v>956</v>
      </c>
      <c r="BS83" s="29" t="s">
        <v>952</v>
      </c>
      <c r="BT83" s="22"/>
    </row>
    <row r="84" spans="1:72" ht="22.5" customHeight="1" x14ac:dyDescent="0.25">
      <c r="A84" s="3">
        <v>83</v>
      </c>
      <c r="B84" s="4" t="s">
        <v>866</v>
      </c>
      <c r="C84" s="4"/>
      <c r="D84" s="4" t="s">
        <v>957</v>
      </c>
      <c r="E84" s="4" t="s">
        <v>681</v>
      </c>
      <c r="F84" s="4"/>
      <c r="G84" s="15" t="s">
        <v>958</v>
      </c>
      <c r="H84" s="4" t="s">
        <v>959</v>
      </c>
      <c r="I84" s="4" t="s">
        <v>960</v>
      </c>
      <c r="J84" s="4"/>
      <c r="K84" s="4" t="s">
        <v>961</v>
      </c>
      <c r="L84" s="4" t="s">
        <v>962</v>
      </c>
      <c r="M84" s="4" t="s">
        <v>963</v>
      </c>
      <c r="N84" s="4"/>
      <c r="O84" s="4"/>
      <c r="P84" s="4"/>
      <c r="Q84" s="4"/>
      <c r="R84" s="4"/>
      <c r="S84" s="4" t="s">
        <v>83</v>
      </c>
      <c r="T84" s="4" t="s">
        <v>84</v>
      </c>
      <c r="U84" s="4"/>
      <c r="V84" s="5"/>
      <c r="W84" s="4"/>
      <c r="X84" s="4" t="s">
        <v>140</v>
      </c>
      <c r="Y84" s="4"/>
      <c r="Z84" s="6"/>
      <c r="AA84" s="3"/>
      <c r="AB84" s="7"/>
      <c r="AC84" s="7"/>
      <c r="AD84" s="6"/>
      <c r="AE84" s="6"/>
      <c r="AF84" s="6"/>
      <c r="AG84" s="3"/>
      <c r="AH84" s="3"/>
      <c r="AI84" s="3"/>
      <c r="AJ84" s="3"/>
      <c r="AK84" s="3"/>
      <c r="AL84" s="3"/>
      <c r="AM84" s="3"/>
      <c r="AN84" s="3"/>
      <c r="AO84" s="3"/>
      <c r="AP84" s="3"/>
      <c r="AQ84" s="3"/>
      <c r="AR84" s="3"/>
      <c r="AS84" s="3"/>
      <c r="AT84" s="3"/>
      <c r="AU84" s="3"/>
      <c r="AV84" s="3"/>
      <c r="AW84" s="3"/>
      <c r="AX84" s="3"/>
      <c r="AY84" s="3"/>
      <c r="AZ84" s="3"/>
      <c r="BA84" s="3"/>
      <c r="BB84" s="3"/>
      <c r="BC84" s="3"/>
      <c r="BD84" s="9"/>
      <c r="BE84" s="3"/>
      <c r="BF84" s="3"/>
      <c r="BG84" s="3"/>
      <c r="BH84" s="3"/>
      <c r="BI84" s="3"/>
      <c r="BJ84" s="3"/>
      <c r="BK84" s="3"/>
      <c r="BL84" s="3"/>
      <c r="BM84" s="3"/>
      <c r="BN84" s="3"/>
      <c r="BO84" s="3"/>
      <c r="BP84" s="6"/>
      <c r="BQ84" s="3"/>
      <c r="BR84" s="3"/>
      <c r="BS84" s="3"/>
      <c r="BT84" s="3"/>
    </row>
    <row r="85" spans="1:72" ht="22.5" customHeight="1" x14ac:dyDescent="0.25">
      <c r="A85" s="3">
        <v>84</v>
      </c>
      <c r="B85" s="4" t="s">
        <v>866</v>
      </c>
      <c r="C85" s="4"/>
      <c r="D85" s="4" t="s">
        <v>957</v>
      </c>
      <c r="E85" s="4" t="s">
        <v>681</v>
      </c>
      <c r="F85" s="4"/>
      <c r="G85" s="15" t="s">
        <v>964</v>
      </c>
      <c r="H85" s="4" t="s">
        <v>965</v>
      </c>
      <c r="I85" s="4" t="s">
        <v>966</v>
      </c>
      <c r="J85" s="4"/>
      <c r="K85" s="4" t="s">
        <v>967</v>
      </c>
      <c r="L85" s="4" t="s">
        <v>968</v>
      </c>
      <c r="M85" s="4" t="s">
        <v>969</v>
      </c>
      <c r="N85" s="4"/>
      <c r="O85" s="4"/>
      <c r="P85" s="4"/>
      <c r="Q85" s="4"/>
      <c r="R85" s="4"/>
      <c r="S85" s="4" t="s">
        <v>83</v>
      </c>
      <c r="T85" s="4" t="s">
        <v>84</v>
      </c>
      <c r="U85" s="4"/>
      <c r="V85" s="5"/>
      <c r="W85" s="4"/>
      <c r="X85" s="4" t="s">
        <v>140</v>
      </c>
      <c r="Y85" s="4"/>
      <c r="Z85" s="6"/>
      <c r="AA85" s="3"/>
      <c r="AB85" s="7"/>
      <c r="AC85" s="7"/>
      <c r="AD85" s="6"/>
      <c r="AE85" s="6"/>
      <c r="AF85" s="6"/>
      <c r="AG85" s="3"/>
      <c r="AH85" s="3"/>
      <c r="AI85" s="3"/>
      <c r="AJ85" s="3"/>
      <c r="AK85" s="3"/>
      <c r="AL85" s="3"/>
      <c r="AM85" s="3"/>
      <c r="AN85" s="3"/>
      <c r="AO85" s="3"/>
      <c r="AP85" s="3"/>
      <c r="AQ85" s="3"/>
      <c r="AR85" s="3"/>
      <c r="AS85" s="3"/>
      <c r="AT85" s="3"/>
      <c r="AU85" s="3"/>
      <c r="AV85" s="3"/>
      <c r="AW85" s="3"/>
      <c r="AX85" s="3"/>
      <c r="AY85" s="3"/>
      <c r="AZ85" s="3"/>
      <c r="BA85" s="3"/>
      <c r="BB85" s="3"/>
      <c r="BC85" s="3"/>
      <c r="BD85" s="9"/>
      <c r="BE85" s="3"/>
      <c r="BF85" s="3"/>
      <c r="BG85" s="3"/>
      <c r="BH85" s="3"/>
      <c r="BI85" s="3"/>
      <c r="BJ85" s="3"/>
      <c r="BK85" s="3"/>
      <c r="BL85" s="3"/>
      <c r="BM85" s="3"/>
      <c r="BN85" s="3"/>
      <c r="BO85" s="3"/>
      <c r="BP85" s="6"/>
      <c r="BQ85" s="3"/>
      <c r="BR85" s="3"/>
      <c r="BS85" s="3"/>
      <c r="BT85" s="3"/>
    </row>
    <row r="86" spans="1:72" ht="166.5" customHeight="1" x14ac:dyDescent="0.25">
      <c r="A86" s="32">
        <v>85</v>
      </c>
      <c r="B86" s="16" t="s">
        <v>866</v>
      </c>
      <c r="C86" s="33" t="s">
        <v>867</v>
      </c>
      <c r="D86" s="33" t="s">
        <v>868</v>
      </c>
      <c r="E86" s="33" t="s">
        <v>668</v>
      </c>
      <c r="F86" s="33" t="s">
        <v>97</v>
      </c>
      <c r="G86" s="34" t="s">
        <v>970</v>
      </c>
      <c r="H86" s="33" t="s">
        <v>971</v>
      </c>
      <c r="I86" s="33" t="s">
        <v>972</v>
      </c>
      <c r="J86" s="33" t="s">
        <v>973</v>
      </c>
      <c r="K86" s="33"/>
      <c r="L86" s="33" t="s">
        <v>974</v>
      </c>
      <c r="M86" s="33" t="s">
        <v>975</v>
      </c>
      <c r="N86" s="33" t="s">
        <v>976</v>
      </c>
      <c r="O86" s="33" t="s">
        <v>977</v>
      </c>
      <c r="P86" s="33" t="s">
        <v>978</v>
      </c>
      <c r="Q86" s="33" t="s">
        <v>979</v>
      </c>
      <c r="R86" s="33"/>
      <c r="S86" s="33" t="s">
        <v>83</v>
      </c>
      <c r="T86" s="33" t="s">
        <v>910</v>
      </c>
      <c r="U86" s="33" t="s">
        <v>980</v>
      </c>
      <c r="V86" s="35">
        <v>52</v>
      </c>
      <c r="W86" s="33">
        <v>50</v>
      </c>
      <c r="X86" s="33" t="s">
        <v>219</v>
      </c>
      <c r="Y86" s="33"/>
      <c r="Z86" s="36"/>
      <c r="AA86" s="32">
        <v>2</v>
      </c>
      <c r="AB86" s="37"/>
      <c r="AC86" s="37"/>
      <c r="AD86" s="36">
        <v>31</v>
      </c>
      <c r="AE86" s="36"/>
      <c r="AF86" s="36">
        <f>SUM(Y86:AE86)</f>
        <v>33</v>
      </c>
      <c r="AG86" s="32" t="s">
        <v>981</v>
      </c>
      <c r="AH86" s="32" t="s">
        <v>982</v>
      </c>
      <c r="AI86" s="32" t="s">
        <v>983</v>
      </c>
      <c r="AJ86" s="32"/>
      <c r="AK86" s="32">
        <v>0</v>
      </c>
      <c r="AL86" s="32">
        <v>0</v>
      </c>
      <c r="AM86" s="32">
        <v>0</v>
      </c>
      <c r="AN86" s="32">
        <v>0</v>
      </c>
      <c r="AO86" s="32">
        <v>0</v>
      </c>
      <c r="AP86" s="32">
        <v>0</v>
      </c>
      <c r="AQ86" s="32"/>
      <c r="AR86" s="36">
        <f>SUM(AK86:AQ86)</f>
        <v>0</v>
      </c>
      <c r="AS86" s="32" t="s">
        <v>984</v>
      </c>
      <c r="AT86" s="32" t="s">
        <v>985</v>
      </c>
      <c r="AU86" s="32" t="s">
        <v>986</v>
      </c>
      <c r="AV86" s="32"/>
      <c r="AW86" s="32">
        <v>76</v>
      </c>
      <c r="AX86" s="32">
        <v>0</v>
      </c>
      <c r="AY86" s="32">
        <v>0</v>
      </c>
      <c r="AZ86" s="32">
        <v>0</v>
      </c>
      <c r="BA86" s="32">
        <v>0</v>
      </c>
      <c r="BB86" s="38">
        <v>31</v>
      </c>
      <c r="BC86" s="32"/>
      <c r="BD86" s="39"/>
      <c r="BE86" s="32" t="s">
        <v>987</v>
      </c>
      <c r="BF86" s="32" t="s">
        <v>988</v>
      </c>
      <c r="BG86" s="32" t="s">
        <v>989</v>
      </c>
      <c r="BH86" s="32"/>
      <c r="BI86" s="32"/>
      <c r="BJ86" s="32"/>
      <c r="BK86" s="32"/>
      <c r="BL86" s="32"/>
      <c r="BM86" s="32"/>
      <c r="BN86" s="32"/>
      <c r="BO86" s="32"/>
      <c r="BP86" s="36"/>
      <c r="BQ86" s="32"/>
      <c r="BR86" s="32"/>
      <c r="BS86" s="32"/>
      <c r="BT86" s="32"/>
    </row>
    <row r="87" spans="1:72" ht="150" customHeight="1" x14ac:dyDescent="0.25">
      <c r="A87" s="3">
        <v>86</v>
      </c>
      <c r="B87" s="4" t="s">
        <v>866</v>
      </c>
      <c r="C87" s="4" t="s">
        <v>867</v>
      </c>
      <c r="D87" s="4" t="s">
        <v>868</v>
      </c>
      <c r="E87" s="4" t="s">
        <v>668</v>
      </c>
      <c r="F87" s="4" t="s">
        <v>97</v>
      </c>
      <c r="G87" s="15" t="s">
        <v>990</v>
      </c>
      <c r="H87" s="4" t="s">
        <v>991</v>
      </c>
      <c r="I87" s="4" t="s">
        <v>992</v>
      </c>
      <c r="J87" s="4" t="s">
        <v>993</v>
      </c>
      <c r="K87" s="4" t="s">
        <v>994</v>
      </c>
      <c r="L87" s="4" t="s">
        <v>995</v>
      </c>
      <c r="M87" s="4" t="s">
        <v>996</v>
      </c>
      <c r="N87" s="4" t="s">
        <v>997</v>
      </c>
      <c r="O87" s="4"/>
      <c r="P87" s="4"/>
      <c r="Q87" s="4"/>
      <c r="R87" s="4"/>
      <c r="S87" s="4" t="s">
        <v>83</v>
      </c>
      <c r="T87" s="4" t="s">
        <v>910</v>
      </c>
      <c r="U87" s="4" t="s">
        <v>998</v>
      </c>
      <c r="V87" s="5"/>
      <c r="W87" s="4">
        <v>59</v>
      </c>
      <c r="X87" s="4" t="s">
        <v>219</v>
      </c>
      <c r="Y87" s="4">
        <v>0</v>
      </c>
      <c r="Z87" s="6">
        <v>11</v>
      </c>
      <c r="AA87" s="3">
        <v>0</v>
      </c>
      <c r="AB87" s="7"/>
      <c r="AC87" s="7"/>
      <c r="AD87" s="6"/>
      <c r="AE87" s="6"/>
      <c r="AF87" s="6">
        <f>SUM(Y87:AE87)/59</f>
        <v>0.1864406779661017</v>
      </c>
      <c r="AG87" s="3" t="s">
        <v>999</v>
      </c>
      <c r="AH87" s="3" t="s">
        <v>1000</v>
      </c>
      <c r="AI87" s="3" t="s">
        <v>1001</v>
      </c>
      <c r="AJ87" s="3"/>
      <c r="AK87" s="3">
        <v>0</v>
      </c>
      <c r="AL87" s="3">
        <v>3</v>
      </c>
      <c r="AM87" s="3">
        <v>0</v>
      </c>
      <c r="AN87" s="3"/>
      <c r="AO87" s="3"/>
      <c r="AP87" s="3"/>
      <c r="AQ87" s="3"/>
      <c r="AR87" s="6">
        <f>SUM(AK87:AQ87)/59</f>
        <v>5.0847457627118647E-2</v>
      </c>
      <c r="AS87" s="3" t="s">
        <v>1002</v>
      </c>
      <c r="AT87" s="3" t="s">
        <v>1003</v>
      </c>
      <c r="AU87" s="3" t="s">
        <v>916</v>
      </c>
      <c r="AV87" s="3"/>
      <c r="AW87" s="3">
        <v>0</v>
      </c>
      <c r="AX87" s="3">
        <v>6</v>
      </c>
      <c r="AY87" s="3">
        <v>0</v>
      </c>
      <c r="AZ87" s="3"/>
      <c r="BA87" s="3"/>
      <c r="BB87" s="3"/>
      <c r="BC87" s="3"/>
      <c r="BD87" s="9">
        <f>SUM(AW87:AY87)/59</f>
        <v>0.10169491525423729</v>
      </c>
      <c r="BE87" s="3" t="s">
        <v>1004</v>
      </c>
      <c r="BF87" s="3" t="s">
        <v>1005</v>
      </c>
      <c r="BG87" s="3"/>
      <c r="BH87" s="3"/>
      <c r="BI87" s="3"/>
      <c r="BJ87" s="3"/>
      <c r="BK87" s="3"/>
      <c r="BL87" s="3"/>
      <c r="BM87" s="3"/>
      <c r="BN87" s="3"/>
      <c r="BO87" s="3"/>
      <c r="BP87" s="6"/>
      <c r="BQ87" s="3"/>
      <c r="BR87" s="3"/>
      <c r="BS87" s="3"/>
      <c r="BT87" s="3"/>
    </row>
    <row r="88" spans="1:72" ht="112.5" customHeight="1" x14ac:dyDescent="0.25">
      <c r="A88" s="3">
        <v>87</v>
      </c>
      <c r="B88" s="4" t="s">
        <v>866</v>
      </c>
      <c r="C88" s="4" t="s">
        <v>867</v>
      </c>
      <c r="D88" s="4" t="s">
        <v>868</v>
      </c>
      <c r="E88" s="4" t="s">
        <v>668</v>
      </c>
      <c r="F88" s="4"/>
      <c r="G88" s="15" t="s">
        <v>1006</v>
      </c>
      <c r="H88" s="33" t="s">
        <v>1007</v>
      </c>
      <c r="I88" s="4" t="s">
        <v>1008</v>
      </c>
      <c r="J88" s="4" t="s">
        <v>993</v>
      </c>
      <c r="K88" s="4"/>
      <c r="L88" s="4" t="s">
        <v>1009</v>
      </c>
      <c r="M88" s="4" t="s">
        <v>1010</v>
      </c>
      <c r="N88" s="4" t="s">
        <v>1011</v>
      </c>
      <c r="O88" s="4" t="s">
        <v>1012</v>
      </c>
      <c r="P88" s="4" t="s">
        <v>1013</v>
      </c>
      <c r="Q88" s="4"/>
      <c r="R88" s="4"/>
      <c r="S88" s="4" t="s">
        <v>83</v>
      </c>
      <c r="T88" s="4" t="s">
        <v>910</v>
      </c>
      <c r="U88" s="4" t="s">
        <v>1014</v>
      </c>
      <c r="V88" s="5"/>
      <c r="W88" s="4">
        <v>36</v>
      </c>
      <c r="X88" s="4" t="s">
        <v>501</v>
      </c>
      <c r="Y88" s="4">
        <v>1</v>
      </c>
      <c r="Z88" s="6"/>
      <c r="AA88" s="3"/>
      <c r="AB88" s="7"/>
      <c r="AC88" s="7"/>
      <c r="AD88" s="6"/>
      <c r="AE88" s="6"/>
      <c r="AF88" s="6"/>
      <c r="AG88" s="3" t="s">
        <v>1015</v>
      </c>
      <c r="AH88" s="3" t="s">
        <v>1016</v>
      </c>
      <c r="AI88" s="3"/>
      <c r="AJ88" s="3"/>
      <c r="AK88" s="3">
        <v>3</v>
      </c>
      <c r="AL88" s="3">
        <v>3</v>
      </c>
      <c r="AM88" s="3">
        <v>0</v>
      </c>
      <c r="AN88" s="3">
        <v>2</v>
      </c>
      <c r="AO88" s="3">
        <v>0</v>
      </c>
      <c r="AP88" s="3"/>
      <c r="AQ88" s="3"/>
      <c r="AR88" s="6">
        <f>SUM(AK88:AQ88)</f>
        <v>8</v>
      </c>
      <c r="AS88" s="3" t="s">
        <v>1017</v>
      </c>
      <c r="AT88" s="3" t="s">
        <v>1018</v>
      </c>
      <c r="AU88" s="3" t="s">
        <v>916</v>
      </c>
      <c r="AV88" s="3"/>
      <c r="AW88" s="3">
        <v>1</v>
      </c>
      <c r="AX88" s="3">
        <v>1</v>
      </c>
      <c r="AY88" s="3">
        <v>0</v>
      </c>
      <c r="AZ88" s="3">
        <v>0</v>
      </c>
      <c r="BA88" s="3">
        <v>0</v>
      </c>
      <c r="BB88" s="3"/>
      <c r="BC88" s="3"/>
      <c r="BD88" s="9">
        <f>SUM(AW88:BA88)</f>
        <v>2</v>
      </c>
      <c r="BE88" s="3" t="s">
        <v>1019</v>
      </c>
      <c r="BF88" s="3" t="s">
        <v>1020</v>
      </c>
      <c r="BG88" s="3"/>
      <c r="BH88" s="3"/>
      <c r="BI88" s="3"/>
      <c r="BJ88" s="3"/>
      <c r="BK88" s="3"/>
      <c r="BL88" s="3"/>
      <c r="BM88" s="3"/>
      <c r="BN88" s="3"/>
      <c r="BO88" s="3"/>
      <c r="BP88" s="6"/>
      <c r="BQ88" s="3"/>
      <c r="BR88" s="3"/>
      <c r="BS88" s="3"/>
      <c r="BT88" s="3"/>
    </row>
    <row r="89" spans="1:72" ht="22.5" customHeight="1" x14ac:dyDescent="0.25">
      <c r="A89" s="3">
        <v>88</v>
      </c>
      <c r="B89" s="4" t="s">
        <v>866</v>
      </c>
      <c r="C89" s="4"/>
      <c r="D89" s="4" t="s">
        <v>1021</v>
      </c>
      <c r="E89" s="4" t="s">
        <v>681</v>
      </c>
      <c r="F89" s="4"/>
      <c r="G89" s="15" t="s">
        <v>1022</v>
      </c>
      <c r="H89" s="4" t="s">
        <v>1023</v>
      </c>
      <c r="I89" s="4" t="s">
        <v>1024</v>
      </c>
      <c r="J89" s="4"/>
      <c r="K89" s="4" t="s">
        <v>967</v>
      </c>
      <c r="L89" s="4" t="s">
        <v>1025</v>
      </c>
      <c r="M89" s="4" t="s">
        <v>1026</v>
      </c>
      <c r="N89" s="4"/>
      <c r="O89" s="4"/>
      <c r="P89" s="4"/>
      <c r="Q89" s="4"/>
      <c r="R89" s="4"/>
      <c r="S89" s="4" t="s">
        <v>83</v>
      </c>
      <c r="T89" s="4" t="s">
        <v>105</v>
      </c>
      <c r="U89" s="4"/>
      <c r="V89" s="5"/>
      <c r="W89" s="4"/>
      <c r="X89" s="4" t="s">
        <v>140</v>
      </c>
      <c r="Y89" s="4"/>
      <c r="Z89" s="6"/>
      <c r="AA89" s="3"/>
      <c r="AB89" s="7"/>
      <c r="AC89" s="7"/>
      <c r="AD89" s="6"/>
      <c r="AE89" s="6"/>
      <c r="AF89" s="6"/>
      <c r="AG89" s="3"/>
      <c r="AH89" s="3"/>
      <c r="AI89" s="3"/>
      <c r="AJ89" s="3"/>
      <c r="AK89" s="3"/>
      <c r="AL89" s="3"/>
      <c r="AM89" s="3"/>
      <c r="AN89" s="3"/>
      <c r="AO89" s="3"/>
      <c r="AP89" s="3"/>
      <c r="AQ89" s="3"/>
      <c r="AR89" s="3"/>
      <c r="AS89" s="3"/>
      <c r="AT89" s="3"/>
      <c r="AU89" s="3"/>
      <c r="AV89" s="3"/>
      <c r="AW89" s="3"/>
      <c r="AX89" s="3"/>
      <c r="AY89" s="3"/>
      <c r="AZ89" s="3"/>
      <c r="BA89" s="3"/>
      <c r="BB89" s="3"/>
      <c r="BC89" s="3"/>
      <c r="BD89" s="9"/>
      <c r="BE89" s="3"/>
      <c r="BF89" s="3"/>
      <c r="BG89" s="3"/>
      <c r="BH89" s="3"/>
      <c r="BI89" s="3"/>
      <c r="BJ89" s="3"/>
      <c r="BK89" s="3"/>
      <c r="BL89" s="3"/>
      <c r="BM89" s="3"/>
      <c r="BN89" s="3"/>
      <c r="BO89" s="3"/>
      <c r="BP89" s="6"/>
      <c r="BQ89" s="3"/>
      <c r="BR89" s="3"/>
      <c r="BS89" s="3"/>
      <c r="BT89" s="3"/>
    </row>
    <row r="90" spans="1:72" ht="107.25" customHeight="1" x14ac:dyDescent="0.25">
      <c r="A90" s="3">
        <v>89</v>
      </c>
      <c r="B90" s="4" t="s">
        <v>866</v>
      </c>
      <c r="C90" s="4" t="s">
        <v>867</v>
      </c>
      <c r="D90" s="4" t="s">
        <v>868</v>
      </c>
      <c r="E90" s="4" t="s">
        <v>668</v>
      </c>
      <c r="F90" s="4" t="s">
        <v>1027</v>
      </c>
      <c r="G90" s="15" t="s">
        <v>1028</v>
      </c>
      <c r="H90" s="33" t="s">
        <v>1029</v>
      </c>
      <c r="I90" s="4" t="s">
        <v>1030</v>
      </c>
      <c r="J90" s="4" t="s">
        <v>993</v>
      </c>
      <c r="K90" s="4"/>
      <c r="L90" s="4" t="s">
        <v>1031</v>
      </c>
      <c r="M90" s="4"/>
      <c r="N90" s="4"/>
      <c r="O90" s="4"/>
      <c r="P90" s="4"/>
      <c r="Q90" s="4"/>
      <c r="R90" s="4"/>
      <c r="S90" s="4" t="s">
        <v>83</v>
      </c>
      <c r="T90" s="4" t="s">
        <v>910</v>
      </c>
      <c r="U90" s="4" t="s">
        <v>1032</v>
      </c>
      <c r="V90" s="5"/>
      <c r="W90" s="4">
        <v>0.8</v>
      </c>
      <c r="X90" s="4" t="s">
        <v>501</v>
      </c>
      <c r="Y90" s="4">
        <v>0</v>
      </c>
      <c r="Z90" s="6"/>
      <c r="AA90" s="3"/>
      <c r="AB90" s="7"/>
      <c r="AC90" s="7"/>
      <c r="AD90" s="6"/>
      <c r="AE90" s="6"/>
      <c r="AF90" s="6">
        <f>SUM(Y90:AE90)</f>
        <v>0</v>
      </c>
      <c r="AG90" s="3" t="s">
        <v>1033</v>
      </c>
      <c r="AH90" s="3" t="s">
        <v>1034</v>
      </c>
      <c r="AI90" s="3"/>
      <c r="AJ90" s="3"/>
      <c r="AK90" s="3">
        <v>0</v>
      </c>
      <c r="AL90" s="3">
        <v>244</v>
      </c>
      <c r="AM90" s="3"/>
      <c r="AN90" s="3"/>
      <c r="AO90" s="3"/>
      <c r="AP90" s="3"/>
      <c r="AQ90" s="3"/>
      <c r="AR90" s="6">
        <f t="shared" ref="AR90:AR92" si="26">SUM(AK90)</f>
        <v>0</v>
      </c>
      <c r="AS90" s="3" t="s">
        <v>1035</v>
      </c>
      <c r="AT90" s="3" t="s">
        <v>1036</v>
      </c>
      <c r="AU90" s="3"/>
      <c r="AV90" s="3"/>
      <c r="AW90" s="3">
        <v>0</v>
      </c>
      <c r="AX90" s="3">
        <v>244</v>
      </c>
      <c r="AY90" s="3"/>
      <c r="AZ90" s="3"/>
      <c r="BA90" s="3"/>
      <c r="BB90" s="3"/>
      <c r="BC90" s="3"/>
      <c r="BD90" s="9"/>
      <c r="BE90" s="3" t="s">
        <v>1037</v>
      </c>
      <c r="BF90" s="3" t="s">
        <v>1038</v>
      </c>
      <c r="BG90" s="3" t="s">
        <v>1039</v>
      </c>
      <c r="BH90" s="3"/>
      <c r="BI90" s="3"/>
      <c r="BJ90" s="3"/>
      <c r="BK90" s="3"/>
      <c r="BL90" s="3"/>
      <c r="BM90" s="3"/>
      <c r="BN90" s="3"/>
      <c r="BO90" s="3"/>
      <c r="BP90" s="6"/>
      <c r="BQ90" s="3"/>
      <c r="BR90" s="3"/>
      <c r="BS90" s="3"/>
      <c r="BT90" s="3"/>
    </row>
    <row r="91" spans="1:72" ht="112.5" customHeight="1" x14ac:dyDescent="0.25">
      <c r="A91" s="3">
        <v>90</v>
      </c>
      <c r="B91" s="4" t="s">
        <v>866</v>
      </c>
      <c r="C91" s="4" t="s">
        <v>867</v>
      </c>
      <c r="D91" s="4"/>
      <c r="E91" s="4" t="s">
        <v>668</v>
      </c>
      <c r="F91" s="4"/>
      <c r="G91" s="4" t="s">
        <v>1040</v>
      </c>
      <c r="H91" s="4" t="s">
        <v>1041</v>
      </c>
      <c r="I91" s="4" t="s">
        <v>1042</v>
      </c>
      <c r="J91" s="4" t="s">
        <v>1043</v>
      </c>
      <c r="K91" s="4" t="s">
        <v>1044</v>
      </c>
      <c r="L91" s="4" t="s">
        <v>1045</v>
      </c>
      <c r="M91" s="4" t="s">
        <v>1046</v>
      </c>
      <c r="N91" s="4"/>
      <c r="O91" s="4"/>
      <c r="P91" s="4"/>
      <c r="Q91" s="4"/>
      <c r="R91" s="4"/>
      <c r="S91" s="4" t="s">
        <v>83</v>
      </c>
      <c r="T91" s="4" t="s">
        <v>910</v>
      </c>
      <c r="U91" s="4" t="s">
        <v>674</v>
      </c>
      <c r="V91" s="5">
        <v>4811</v>
      </c>
      <c r="W91" s="4"/>
      <c r="X91" s="4" t="s">
        <v>86</v>
      </c>
      <c r="Y91" s="4">
        <f>197+308</f>
        <v>505</v>
      </c>
      <c r="Z91" s="6"/>
      <c r="AA91" s="3"/>
      <c r="AB91" s="7"/>
      <c r="AC91" s="7"/>
      <c r="AD91" s="6"/>
      <c r="AE91" s="6"/>
      <c r="AF91" s="6">
        <f t="shared" ref="AF91:AF92" si="27">SUM(Y91)</f>
        <v>505</v>
      </c>
      <c r="AG91" s="3" t="s">
        <v>1047</v>
      </c>
      <c r="AH91" s="3" t="s">
        <v>1048</v>
      </c>
      <c r="AI91" s="3" t="s">
        <v>1049</v>
      </c>
      <c r="AJ91" s="3"/>
      <c r="AK91" s="3">
        <v>241</v>
      </c>
      <c r="AL91" s="3"/>
      <c r="AM91" s="3"/>
      <c r="AN91" s="3"/>
      <c r="AO91" s="3"/>
      <c r="AP91" s="3"/>
      <c r="AQ91" s="3"/>
      <c r="AR91" s="6">
        <f t="shared" si="26"/>
        <v>241</v>
      </c>
      <c r="AS91" s="3" t="s">
        <v>1050</v>
      </c>
      <c r="AT91" s="3" t="s">
        <v>1051</v>
      </c>
      <c r="AU91" s="3" t="s">
        <v>1052</v>
      </c>
      <c r="AV91" s="3"/>
      <c r="AW91" s="3">
        <v>274</v>
      </c>
      <c r="AX91" s="3"/>
      <c r="AY91" s="3"/>
      <c r="AZ91" s="3"/>
      <c r="BA91" s="3"/>
      <c r="BB91" s="3"/>
      <c r="BC91" s="3"/>
      <c r="BD91" s="9"/>
      <c r="BE91" s="3" t="s">
        <v>1053</v>
      </c>
      <c r="BF91" s="3" t="s">
        <v>1054</v>
      </c>
      <c r="BG91" s="3"/>
      <c r="BH91" s="3"/>
      <c r="BI91" s="3"/>
      <c r="BJ91" s="3"/>
      <c r="BK91" s="3"/>
      <c r="BL91" s="3"/>
      <c r="BM91" s="3"/>
      <c r="BN91" s="3"/>
      <c r="BO91" s="3"/>
      <c r="BP91" s="6"/>
      <c r="BQ91" s="3"/>
      <c r="BR91" s="3"/>
      <c r="BS91" s="3"/>
      <c r="BT91" s="3"/>
    </row>
    <row r="92" spans="1:72" ht="111" customHeight="1" x14ac:dyDescent="0.25">
      <c r="A92" s="3">
        <v>91</v>
      </c>
      <c r="B92" s="4" t="s">
        <v>866</v>
      </c>
      <c r="C92" s="4" t="s">
        <v>867</v>
      </c>
      <c r="D92" s="4"/>
      <c r="E92" s="4" t="s">
        <v>668</v>
      </c>
      <c r="F92" s="4"/>
      <c r="G92" s="4" t="s">
        <v>1055</v>
      </c>
      <c r="H92" s="4" t="s">
        <v>1056</v>
      </c>
      <c r="I92" s="4" t="s">
        <v>1057</v>
      </c>
      <c r="J92" s="4" t="s">
        <v>1058</v>
      </c>
      <c r="K92" s="4" t="s">
        <v>1059</v>
      </c>
      <c r="L92" s="4" t="s">
        <v>1060</v>
      </c>
      <c r="M92" s="4" t="s">
        <v>1061</v>
      </c>
      <c r="N92" s="4"/>
      <c r="O92" s="4"/>
      <c r="P92" s="4"/>
      <c r="Q92" s="4"/>
      <c r="R92" s="4"/>
      <c r="S92" s="4" t="s">
        <v>83</v>
      </c>
      <c r="T92" s="4" t="s">
        <v>84</v>
      </c>
      <c r="U92" s="4" t="s">
        <v>674</v>
      </c>
      <c r="V92" s="5">
        <v>4811</v>
      </c>
      <c r="W92" s="4"/>
      <c r="X92" s="4" t="s">
        <v>86</v>
      </c>
      <c r="Y92" s="4">
        <v>505</v>
      </c>
      <c r="Z92" s="6"/>
      <c r="AA92" s="3"/>
      <c r="AB92" s="7"/>
      <c r="AC92" s="7"/>
      <c r="AD92" s="6"/>
      <c r="AE92" s="6"/>
      <c r="AF92" s="6">
        <f t="shared" si="27"/>
        <v>505</v>
      </c>
      <c r="AG92" s="3" t="s">
        <v>1062</v>
      </c>
      <c r="AH92" s="3" t="s">
        <v>1063</v>
      </c>
      <c r="AI92" s="3" t="s">
        <v>1064</v>
      </c>
      <c r="AJ92" s="3"/>
      <c r="AK92" s="3">
        <v>241</v>
      </c>
      <c r="AL92" s="3"/>
      <c r="AM92" s="3"/>
      <c r="AN92" s="3"/>
      <c r="AO92" s="3"/>
      <c r="AP92" s="3"/>
      <c r="AQ92" s="3"/>
      <c r="AR92" s="6">
        <f t="shared" si="26"/>
        <v>241</v>
      </c>
      <c r="AS92" s="3" t="s">
        <v>1065</v>
      </c>
      <c r="AT92" s="3" t="s">
        <v>1066</v>
      </c>
      <c r="AU92" s="3" t="s">
        <v>1067</v>
      </c>
      <c r="AV92" s="3"/>
      <c r="AW92" s="3">
        <v>274</v>
      </c>
      <c r="AX92" s="3"/>
      <c r="AY92" s="3"/>
      <c r="AZ92" s="3"/>
      <c r="BA92" s="3"/>
      <c r="BB92" s="3"/>
      <c r="BC92" s="3"/>
      <c r="BD92" s="9"/>
      <c r="BE92" s="3" t="s">
        <v>1068</v>
      </c>
      <c r="BF92" s="3" t="s">
        <v>1069</v>
      </c>
      <c r="BG92" s="3" t="s">
        <v>1067</v>
      </c>
      <c r="BH92" s="3"/>
      <c r="BI92" s="3"/>
      <c r="BJ92" s="3"/>
      <c r="BK92" s="3"/>
      <c r="BL92" s="3"/>
      <c r="BM92" s="3"/>
      <c r="BN92" s="3"/>
      <c r="BO92" s="3"/>
      <c r="BP92" s="6"/>
      <c r="BQ92" s="3"/>
      <c r="BR92" s="3"/>
      <c r="BS92" s="3"/>
      <c r="BT92" s="3"/>
    </row>
    <row r="93" spans="1:72" ht="22.5" customHeight="1" x14ac:dyDescent="0.25">
      <c r="A93" s="3">
        <v>92</v>
      </c>
      <c r="B93" s="4" t="s">
        <v>866</v>
      </c>
      <c r="E93" s="4" t="s">
        <v>681</v>
      </c>
      <c r="F93" s="4"/>
      <c r="G93" s="4" t="s">
        <v>1070</v>
      </c>
      <c r="H93" s="4" t="s">
        <v>1071</v>
      </c>
      <c r="I93" s="4" t="s">
        <v>1072</v>
      </c>
      <c r="K93" s="4" t="s">
        <v>1073</v>
      </c>
      <c r="L93" s="4" t="s">
        <v>208</v>
      </c>
      <c r="M93" s="4" t="s">
        <v>1074</v>
      </c>
      <c r="S93" s="15" t="s">
        <v>83</v>
      </c>
      <c r="T93" s="15" t="s">
        <v>84</v>
      </c>
      <c r="V93" s="14"/>
      <c r="W93" s="15"/>
      <c r="X93" s="4" t="s">
        <v>140</v>
      </c>
      <c r="Y93" s="4"/>
      <c r="Z93" s="6"/>
      <c r="AA93" s="3"/>
      <c r="AB93" s="7"/>
      <c r="AC93" s="7"/>
      <c r="AD93" s="6"/>
      <c r="AE93" s="6"/>
      <c r="AF93" s="6"/>
      <c r="AG93" s="3"/>
      <c r="AH93" s="3"/>
      <c r="AI93" s="3"/>
      <c r="AJ93" s="3"/>
      <c r="AK93" s="3"/>
      <c r="AL93" s="3"/>
      <c r="AM93" s="3"/>
      <c r="AN93" s="3"/>
      <c r="AO93" s="3"/>
      <c r="AP93" s="3"/>
      <c r="AQ93" s="3"/>
      <c r="AR93" s="3"/>
      <c r="AS93" s="3"/>
      <c r="AT93" s="3"/>
      <c r="AU93" s="3"/>
      <c r="AV93" s="3"/>
      <c r="AW93" s="3"/>
      <c r="AX93" s="3"/>
      <c r="AY93" s="3"/>
      <c r="AZ93" s="3"/>
      <c r="BA93" s="3"/>
      <c r="BB93" s="3"/>
      <c r="BC93" s="3"/>
      <c r="BD93" s="9"/>
      <c r="BE93" s="3"/>
      <c r="BF93" s="3"/>
      <c r="BG93" s="3"/>
      <c r="BH93" s="3"/>
      <c r="BI93" s="3"/>
      <c r="BJ93" s="3"/>
      <c r="BK93" s="3"/>
      <c r="BL93" s="3"/>
      <c r="BM93" s="3"/>
      <c r="BN93" s="3"/>
      <c r="BO93" s="3"/>
      <c r="BP93" s="6"/>
      <c r="BQ93" s="3"/>
      <c r="BR93" s="3"/>
      <c r="BS93" s="3"/>
      <c r="BT93" s="3"/>
    </row>
    <row r="94" spans="1:72" ht="22.5" customHeight="1" x14ac:dyDescent="0.25">
      <c r="A94" s="32">
        <v>93</v>
      </c>
      <c r="B94" s="33" t="s">
        <v>1075</v>
      </c>
      <c r="C94" s="33" t="s">
        <v>1076</v>
      </c>
      <c r="D94" s="34" t="s">
        <v>438</v>
      </c>
      <c r="E94" s="33" t="s">
        <v>1077</v>
      </c>
      <c r="F94" s="33" t="s">
        <v>1078</v>
      </c>
      <c r="G94" s="33" t="s">
        <v>1079</v>
      </c>
      <c r="H94" s="33" t="s">
        <v>1080</v>
      </c>
      <c r="I94" s="33" t="s">
        <v>1081</v>
      </c>
      <c r="J94" s="34"/>
      <c r="K94" s="33"/>
      <c r="L94" s="33" t="s">
        <v>1082</v>
      </c>
      <c r="M94" s="33" t="s">
        <v>1083</v>
      </c>
      <c r="N94" s="33" t="s">
        <v>1084</v>
      </c>
      <c r="O94" s="33" t="s">
        <v>1085</v>
      </c>
      <c r="P94" s="34"/>
      <c r="Q94" s="34"/>
      <c r="R94" s="34"/>
      <c r="S94" s="34" t="s">
        <v>406</v>
      </c>
      <c r="T94" s="34" t="s">
        <v>84</v>
      </c>
      <c r="U94" s="34"/>
      <c r="V94" s="40"/>
      <c r="W94" s="34"/>
      <c r="X94" s="33" t="s">
        <v>86</v>
      </c>
      <c r="Y94" s="33"/>
      <c r="Z94" s="36"/>
      <c r="AA94" s="32"/>
      <c r="AB94" s="37"/>
      <c r="AC94" s="37"/>
      <c r="AD94" s="36"/>
      <c r="AE94" s="36"/>
      <c r="AF94" s="36"/>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9"/>
      <c r="BE94" s="32"/>
      <c r="BF94" s="32"/>
      <c r="BG94" s="32"/>
      <c r="BH94" s="32" t="s">
        <v>1086</v>
      </c>
      <c r="BI94" s="32"/>
      <c r="BJ94" s="32"/>
      <c r="BK94" s="32"/>
      <c r="BL94" s="32"/>
      <c r="BM94" s="32"/>
      <c r="BN94" s="32"/>
      <c r="BO94" s="32"/>
      <c r="BP94" s="36"/>
      <c r="BQ94" s="32"/>
      <c r="BR94" s="32"/>
      <c r="BS94" s="32"/>
      <c r="BT94" s="32"/>
    </row>
    <row r="95" spans="1:72" ht="66" customHeight="1" x14ac:dyDescent="0.25">
      <c r="A95" s="3">
        <v>94</v>
      </c>
      <c r="B95" s="4" t="s">
        <v>1075</v>
      </c>
      <c r="C95" s="4" t="s">
        <v>1076</v>
      </c>
      <c r="D95" s="15" t="s">
        <v>438</v>
      </c>
      <c r="E95" s="4" t="s">
        <v>1077</v>
      </c>
      <c r="F95" s="4" t="s">
        <v>1078</v>
      </c>
      <c r="G95" s="4" t="s">
        <v>1087</v>
      </c>
      <c r="H95" s="4" t="s">
        <v>1088</v>
      </c>
      <c r="I95" s="4" t="s">
        <v>1089</v>
      </c>
      <c r="K95" s="4" t="s">
        <v>1090</v>
      </c>
      <c r="L95" s="4" t="s">
        <v>1091</v>
      </c>
      <c r="M95" s="4" t="s">
        <v>1092</v>
      </c>
      <c r="N95" s="4" t="s">
        <v>1093</v>
      </c>
      <c r="O95" s="4"/>
      <c r="S95" s="15" t="s">
        <v>83</v>
      </c>
      <c r="T95" s="15" t="s">
        <v>801</v>
      </c>
      <c r="V95" s="14"/>
      <c r="W95" s="15"/>
      <c r="X95" s="4" t="s">
        <v>86</v>
      </c>
      <c r="Y95" s="4">
        <v>65285600</v>
      </c>
      <c r="Z95" s="6">
        <v>28907000</v>
      </c>
      <c r="AA95" s="3">
        <v>21990000</v>
      </c>
      <c r="AB95" s="7"/>
      <c r="AC95" s="7"/>
      <c r="AD95" s="6"/>
      <c r="AE95" s="6"/>
      <c r="AF95" s="6">
        <f>SUM(Y95:AA95)</f>
        <v>116182600</v>
      </c>
      <c r="AG95" s="3" t="s">
        <v>1094</v>
      </c>
      <c r="AH95" s="3" t="s">
        <v>1095</v>
      </c>
      <c r="AI95" s="3" t="s">
        <v>1096</v>
      </c>
      <c r="AJ95" s="3"/>
      <c r="AK95" s="3">
        <v>63183001</v>
      </c>
      <c r="AL95" s="3">
        <v>21636000</v>
      </c>
      <c r="AM95" s="3">
        <v>16375000</v>
      </c>
      <c r="AN95" s="3"/>
      <c r="AO95" s="3"/>
      <c r="AP95" s="3"/>
      <c r="AQ95" s="3"/>
      <c r="AR95" s="6">
        <f>SUM(AK95:AM95)</f>
        <v>101194001</v>
      </c>
      <c r="AS95" s="3" t="s">
        <v>1097</v>
      </c>
      <c r="AT95" s="3" t="s">
        <v>1098</v>
      </c>
      <c r="AU95" s="3"/>
      <c r="AV95" s="3"/>
      <c r="AW95" s="3">
        <v>42021100</v>
      </c>
      <c r="AX95" s="3">
        <v>19273100</v>
      </c>
      <c r="AY95" s="3">
        <v>12590200</v>
      </c>
      <c r="AZ95" s="3"/>
      <c r="BA95" s="3"/>
      <c r="BB95" s="3"/>
      <c r="BC95" s="3"/>
      <c r="BD95" s="9">
        <f>SUM(AW95:AY95)</f>
        <v>73884400</v>
      </c>
      <c r="BE95" s="3" t="s">
        <v>1099</v>
      </c>
      <c r="BF95" s="3" t="s">
        <v>1100</v>
      </c>
      <c r="BG95" s="3"/>
      <c r="BH95" s="3"/>
      <c r="BI95" s="3"/>
      <c r="BJ95" s="3"/>
      <c r="BK95" s="3"/>
      <c r="BL95" s="3"/>
      <c r="BM95" s="3"/>
      <c r="BN95" s="3"/>
      <c r="BO95" s="3"/>
      <c r="BP95" s="6"/>
      <c r="BQ95" s="3"/>
      <c r="BR95" s="3"/>
      <c r="BS95" s="3"/>
      <c r="BT95" s="3"/>
    </row>
    <row r="96" spans="1:72" ht="52.5" customHeight="1" x14ac:dyDescent="0.25">
      <c r="A96" s="3">
        <v>95</v>
      </c>
      <c r="B96" s="4" t="s">
        <v>1075</v>
      </c>
      <c r="C96" s="4" t="s">
        <v>1076</v>
      </c>
      <c r="D96" s="15" t="s">
        <v>438</v>
      </c>
      <c r="E96" s="4" t="s">
        <v>1077</v>
      </c>
      <c r="F96" s="4" t="s">
        <v>1078</v>
      </c>
      <c r="G96" s="4" t="s">
        <v>1101</v>
      </c>
      <c r="H96" s="4" t="s">
        <v>1102</v>
      </c>
      <c r="I96" s="4" t="s">
        <v>1103</v>
      </c>
      <c r="K96" s="4"/>
      <c r="L96" s="4" t="s">
        <v>1104</v>
      </c>
      <c r="M96" s="4" t="s">
        <v>1105</v>
      </c>
      <c r="N96" s="15" t="s">
        <v>1106</v>
      </c>
      <c r="O96" s="15" t="s">
        <v>1107</v>
      </c>
      <c r="P96" s="15" t="s">
        <v>1108</v>
      </c>
      <c r="S96" s="15" t="s">
        <v>406</v>
      </c>
      <c r="T96" s="15" t="s">
        <v>801</v>
      </c>
      <c r="V96" s="14"/>
      <c r="W96" s="15"/>
      <c r="X96" s="4" t="s">
        <v>86</v>
      </c>
      <c r="Y96" s="41">
        <v>1915596207.2595387</v>
      </c>
      <c r="Z96" s="42">
        <v>135959867.15000001</v>
      </c>
      <c r="AA96" s="41">
        <v>7412960.1299999999</v>
      </c>
      <c r="AB96" s="41">
        <v>182591005.60818538</v>
      </c>
      <c r="AC96" s="41">
        <v>75303493.258345634</v>
      </c>
      <c r="AD96" s="42">
        <v>0</v>
      </c>
      <c r="AE96" s="42">
        <v>0</v>
      </c>
      <c r="AF96" s="6">
        <v>2316863533.4077363</v>
      </c>
      <c r="AG96" s="3" t="s">
        <v>1109</v>
      </c>
      <c r="AH96" s="3" t="s">
        <v>1110</v>
      </c>
      <c r="AI96" s="3"/>
      <c r="AJ96" s="3"/>
      <c r="AK96" s="43">
        <v>936759037.12800002</v>
      </c>
      <c r="AL96" s="43">
        <v>89774377.223333329</v>
      </c>
      <c r="AM96" s="43">
        <v>3713978.3699999908</v>
      </c>
      <c r="AN96" s="43">
        <v>187928645.98263463</v>
      </c>
      <c r="AO96" s="43">
        <v>48207616.5983456</v>
      </c>
      <c r="AP96" s="3"/>
      <c r="AQ96" s="3"/>
      <c r="AR96" s="6">
        <f>SUM(AK96:AQ96)</f>
        <v>1266383655.3023136</v>
      </c>
      <c r="AS96" s="3"/>
      <c r="AT96" s="3" t="s">
        <v>1111</v>
      </c>
      <c r="AU96" s="3"/>
      <c r="AV96" s="3"/>
      <c r="AW96" s="43">
        <v>962490133.08799994</v>
      </c>
      <c r="AX96" s="43">
        <v>81461580.029508755</v>
      </c>
      <c r="AY96" s="43">
        <v>4274121.9799999995</v>
      </c>
      <c r="AZ96" s="43">
        <v>193053320.27313</v>
      </c>
      <c r="BA96" s="43">
        <v>43165124.25</v>
      </c>
      <c r="BB96" s="3"/>
      <c r="BC96" s="3"/>
      <c r="BD96" s="9">
        <f>SUM(AW96:BC96)</f>
        <v>1284444279.6206386</v>
      </c>
      <c r="BE96" s="3"/>
      <c r="BF96" s="3" t="s">
        <v>1112</v>
      </c>
      <c r="BG96" s="3"/>
      <c r="BH96" s="3"/>
      <c r="BI96" s="3"/>
      <c r="BJ96" s="3"/>
      <c r="BK96" s="3"/>
      <c r="BL96" s="3"/>
      <c r="BM96" s="3"/>
      <c r="BN96" s="3"/>
      <c r="BO96" s="3"/>
      <c r="BP96" s="6"/>
      <c r="BQ96" s="3"/>
      <c r="BR96" s="3"/>
      <c r="BS96" s="3"/>
      <c r="BT96" s="3"/>
    </row>
    <row r="97" spans="1:72" ht="41.25" customHeight="1" x14ac:dyDescent="0.25">
      <c r="A97" s="3">
        <v>96</v>
      </c>
      <c r="B97" s="4" t="s">
        <v>1075</v>
      </c>
      <c r="C97" s="4" t="s">
        <v>1076</v>
      </c>
      <c r="D97" s="15" t="s">
        <v>438</v>
      </c>
      <c r="E97" s="4" t="s">
        <v>1077</v>
      </c>
      <c r="F97" s="4" t="s">
        <v>1078</v>
      </c>
      <c r="G97" s="4" t="s">
        <v>1113</v>
      </c>
      <c r="H97" s="4" t="s">
        <v>1114</v>
      </c>
      <c r="I97" s="4" t="s">
        <v>1103</v>
      </c>
      <c r="K97" s="4" t="s">
        <v>1115</v>
      </c>
      <c r="L97" s="4" t="s">
        <v>1116</v>
      </c>
      <c r="M97" s="4" t="s">
        <v>1117</v>
      </c>
      <c r="S97" s="15" t="s">
        <v>406</v>
      </c>
      <c r="T97" s="15" t="s">
        <v>84</v>
      </c>
      <c r="V97" s="14"/>
      <c r="W97" s="15"/>
      <c r="X97" s="4" t="s">
        <v>86</v>
      </c>
      <c r="Y97" s="44"/>
      <c r="Z97" s="9" t="s">
        <v>1118</v>
      </c>
      <c r="AA97" s="43"/>
      <c r="AB97" s="43"/>
      <c r="AC97" s="43"/>
      <c r="AD97" s="6"/>
      <c r="AE97" s="6"/>
      <c r="AF97" s="6" t="str">
        <f>Z97</f>
        <v xml:space="preserve">  294,00 </v>
      </c>
      <c r="AG97" s="3" t="s">
        <v>1119</v>
      </c>
      <c r="AH97" s="3" t="s">
        <v>1120</v>
      </c>
      <c r="AI97" s="3" t="s">
        <v>1121</v>
      </c>
      <c r="AJ97" s="3"/>
      <c r="AK97" s="3"/>
      <c r="AL97" s="3">
        <v>236</v>
      </c>
      <c r="AM97" s="3"/>
      <c r="AN97" s="3"/>
      <c r="AO97" s="3"/>
      <c r="AP97" s="3"/>
      <c r="AQ97" s="3"/>
      <c r="AR97" s="6">
        <f>AL97</f>
        <v>236</v>
      </c>
      <c r="AS97" s="3" t="s">
        <v>1122</v>
      </c>
      <c r="AT97" s="3" t="s">
        <v>1123</v>
      </c>
      <c r="AU97" s="3" t="s">
        <v>1124</v>
      </c>
      <c r="AV97" s="3"/>
      <c r="AW97" s="3"/>
      <c r="AX97" s="3">
        <v>246</v>
      </c>
      <c r="AY97" s="3"/>
      <c r="AZ97" s="3"/>
      <c r="BA97" s="3"/>
      <c r="BB97" s="3"/>
      <c r="BC97" s="3"/>
      <c r="BD97" s="9">
        <f>AX97</f>
        <v>246</v>
      </c>
      <c r="BE97" s="3" t="s">
        <v>1125</v>
      </c>
      <c r="BF97" s="3" t="s">
        <v>1126</v>
      </c>
      <c r="BG97" s="3" t="s">
        <v>1127</v>
      </c>
      <c r="BH97" s="3"/>
      <c r="BI97" s="3"/>
      <c r="BJ97" s="3"/>
      <c r="BK97" s="3"/>
      <c r="BL97" s="3"/>
      <c r="BM97" s="3"/>
      <c r="BN97" s="3"/>
      <c r="BO97" s="3"/>
      <c r="BP97" s="6"/>
      <c r="BQ97" s="3"/>
      <c r="BR97" s="3"/>
      <c r="BS97" s="3"/>
      <c r="BT97" s="3"/>
    </row>
    <row r="98" spans="1:72" ht="94.5" customHeight="1" x14ac:dyDescent="0.25">
      <c r="A98" s="3">
        <v>97</v>
      </c>
      <c r="B98" s="4" t="s">
        <v>1075</v>
      </c>
      <c r="C98" s="4" t="s">
        <v>1076</v>
      </c>
      <c r="D98" s="15" t="s">
        <v>438</v>
      </c>
      <c r="E98" s="4" t="s">
        <v>1077</v>
      </c>
      <c r="F98" s="4" t="s">
        <v>1078</v>
      </c>
      <c r="G98" s="4" t="s">
        <v>1128</v>
      </c>
      <c r="H98" s="4" t="s">
        <v>1129</v>
      </c>
      <c r="I98" s="4" t="s">
        <v>1130</v>
      </c>
      <c r="K98" s="4" t="s">
        <v>1131</v>
      </c>
      <c r="L98" s="4" t="s">
        <v>1132</v>
      </c>
      <c r="M98" s="4" t="s">
        <v>1133</v>
      </c>
      <c r="S98" s="15" t="s">
        <v>406</v>
      </c>
      <c r="T98" s="15" t="s">
        <v>84</v>
      </c>
      <c r="V98" s="14"/>
      <c r="W98" s="15"/>
      <c r="X98" s="4" t="s">
        <v>86</v>
      </c>
      <c r="Y98" s="9">
        <v>1547000</v>
      </c>
      <c r="Z98" s="6">
        <v>81774856</v>
      </c>
      <c r="AA98" s="43"/>
      <c r="AB98" s="7"/>
      <c r="AC98" s="7"/>
      <c r="AD98" s="6"/>
      <c r="AE98" s="6"/>
      <c r="AF98" s="6">
        <f>(Y98/Z98)*100</f>
        <v>1.8917795465148848</v>
      </c>
      <c r="AG98" s="3" t="s">
        <v>1134</v>
      </c>
      <c r="AH98" s="3" t="s">
        <v>1134</v>
      </c>
      <c r="AI98" s="3"/>
      <c r="AJ98" s="3"/>
      <c r="AK98" s="3">
        <v>1547000</v>
      </c>
      <c r="AL98" s="9" t="s">
        <v>1135</v>
      </c>
      <c r="AM98" s="43"/>
      <c r="AN98" s="7"/>
      <c r="AO98" s="7"/>
      <c r="AP98" s="6"/>
      <c r="AQ98" s="6"/>
      <c r="AR98" s="6">
        <f>(AK98/AL98)*100</f>
        <v>1.8917795465148848</v>
      </c>
      <c r="AS98" s="3"/>
      <c r="AT98" s="3"/>
      <c r="AU98" s="3"/>
      <c r="AV98" s="3"/>
      <c r="AW98" s="3">
        <v>7191170</v>
      </c>
      <c r="AX98" s="9" t="s">
        <v>1135</v>
      </c>
      <c r="AY98" s="43"/>
      <c r="AZ98" s="7"/>
      <c r="BA98" s="7"/>
      <c r="BB98" s="6"/>
      <c r="BC98" s="6"/>
      <c r="BD98" s="9">
        <f>(AW98/AX98)*100</f>
        <v>8.7938644612226522</v>
      </c>
      <c r="BE98" s="3" t="s">
        <v>1136</v>
      </c>
      <c r="BF98" s="3" t="s">
        <v>1137</v>
      </c>
      <c r="BG98" s="3" t="s">
        <v>1138</v>
      </c>
      <c r="BH98" s="3"/>
      <c r="BI98" s="3"/>
      <c r="BJ98" s="3"/>
      <c r="BK98" s="3"/>
      <c r="BL98" s="3"/>
      <c r="BM98" s="3"/>
      <c r="BN98" s="3"/>
      <c r="BO98" s="3"/>
      <c r="BP98" s="6"/>
      <c r="BQ98" s="3"/>
      <c r="BR98" s="3"/>
      <c r="BS98" s="3"/>
      <c r="BT98" s="3"/>
    </row>
    <row r="99" spans="1:72" ht="103.5" customHeight="1" x14ac:dyDescent="0.25">
      <c r="A99" s="3">
        <v>98</v>
      </c>
      <c r="B99" s="4" t="s">
        <v>1075</v>
      </c>
      <c r="C99" s="4" t="s">
        <v>1076</v>
      </c>
      <c r="D99" s="15" t="s">
        <v>438</v>
      </c>
      <c r="E99" s="4" t="s">
        <v>1077</v>
      </c>
      <c r="F99" s="4" t="s">
        <v>1078</v>
      </c>
      <c r="G99" s="4" t="s">
        <v>1139</v>
      </c>
      <c r="H99" s="4" t="s">
        <v>1140</v>
      </c>
      <c r="I99" s="4" t="s">
        <v>1141</v>
      </c>
      <c r="K99" s="4" t="s">
        <v>1115</v>
      </c>
      <c r="L99" s="4" t="s">
        <v>1142</v>
      </c>
      <c r="M99" s="4" t="s">
        <v>1143</v>
      </c>
      <c r="S99" s="15" t="s">
        <v>406</v>
      </c>
      <c r="T99" s="15" t="s">
        <v>84</v>
      </c>
      <c r="V99" s="14"/>
      <c r="W99" s="15"/>
      <c r="X99" s="4" t="s">
        <v>86</v>
      </c>
      <c r="Y99" s="4"/>
      <c r="Z99" s="6">
        <v>1</v>
      </c>
      <c r="AA99" s="3"/>
      <c r="AB99" s="7"/>
      <c r="AC99" s="7"/>
      <c r="AD99" s="6"/>
      <c r="AE99" s="6"/>
      <c r="AF99" s="6">
        <f>Z99</f>
        <v>1</v>
      </c>
      <c r="AG99" s="3" t="s">
        <v>1134</v>
      </c>
      <c r="AH99" s="3" t="s">
        <v>1134</v>
      </c>
      <c r="AI99" s="3" t="s">
        <v>1134</v>
      </c>
      <c r="AJ99" s="3"/>
      <c r="AK99" s="3"/>
      <c r="AL99" s="3">
        <v>2</v>
      </c>
      <c r="AM99" s="3"/>
      <c r="AN99" s="3"/>
      <c r="AO99" s="3"/>
      <c r="AP99" s="3"/>
      <c r="AQ99" s="3"/>
      <c r="AR99" s="6">
        <f>AL99</f>
        <v>2</v>
      </c>
      <c r="AS99" s="3" t="s">
        <v>1144</v>
      </c>
      <c r="AT99" s="3" t="s">
        <v>1145</v>
      </c>
      <c r="AU99" s="3" t="s">
        <v>1146</v>
      </c>
      <c r="AV99" s="3"/>
      <c r="AW99" s="3"/>
      <c r="AX99" s="3">
        <v>0</v>
      </c>
      <c r="AY99" s="3"/>
      <c r="AZ99" s="3"/>
      <c r="BA99" s="3"/>
      <c r="BB99" s="3"/>
      <c r="BC99" s="3"/>
      <c r="BD99" s="9">
        <f>AX99</f>
        <v>0</v>
      </c>
      <c r="BE99" s="3" t="s">
        <v>1136</v>
      </c>
      <c r="BF99" s="3" t="s">
        <v>1137</v>
      </c>
      <c r="BG99" s="3" t="s">
        <v>1138</v>
      </c>
      <c r="BH99" s="3"/>
      <c r="BI99" s="3"/>
      <c r="BJ99" s="3"/>
      <c r="BK99" s="3"/>
      <c r="BL99" s="3"/>
      <c r="BM99" s="3"/>
      <c r="BN99" s="3"/>
      <c r="BO99" s="3"/>
      <c r="BP99" s="6"/>
      <c r="BQ99" s="3"/>
      <c r="BR99" s="3"/>
      <c r="BS99" s="3"/>
      <c r="BT99" s="3"/>
    </row>
    <row r="100" spans="1:72" ht="22.5" customHeight="1" x14ac:dyDescent="0.25">
      <c r="A100" s="3">
        <v>99</v>
      </c>
      <c r="B100" s="4" t="s">
        <v>1075</v>
      </c>
      <c r="D100" s="15" t="s">
        <v>438</v>
      </c>
      <c r="E100" s="4" t="s">
        <v>1147</v>
      </c>
      <c r="F100" s="4"/>
      <c r="G100" s="4" t="s">
        <v>1148</v>
      </c>
      <c r="H100" s="4" t="s">
        <v>1149</v>
      </c>
      <c r="I100" s="4" t="s">
        <v>1150</v>
      </c>
      <c r="K100" s="4"/>
      <c r="L100" s="4" t="s">
        <v>1151</v>
      </c>
      <c r="M100" s="4" t="s">
        <v>1152</v>
      </c>
      <c r="S100" s="15" t="s">
        <v>406</v>
      </c>
      <c r="T100" s="15" t="s">
        <v>84</v>
      </c>
      <c r="V100" s="14"/>
      <c r="W100" s="15"/>
      <c r="X100" s="4"/>
      <c r="Y100" s="4"/>
      <c r="Z100" s="6"/>
      <c r="AA100" s="3"/>
      <c r="AB100" s="7"/>
      <c r="AC100" s="7"/>
      <c r="AD100" s="6"/>
      <c r="AE100" s="6"/>
      <c r="AF100" s="6"/>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9"/>
      <c r="BE100" s="3"/>
      <c r="BF100" s="3"/>
      <c r="BG100" s="3"/>
      <c r="BH100" s="3"/>
      <c r="BI100" s="3"/>
      <c r="BJ100" s="3"/>
      <c r="BK100" s="3"/>
      <c r="BL100" s="3"/>
      <c r="BM100" s="3"/>
      <c r="BN100" s="3"/>
      <c r="BO100" s="3"/>
      <c r="BP100" s="6"/>
      <c r="BQ100" s="3"/>
      <c r="BR100" s="3"/>
      <c r="BS100" s="3"/>
      <c r="BT100" s="3"/>
    </row>
    <row r="101" spans="1:72" ht="22.5" customHeight="1" x14ac:dyDescent="0.25">
      <c r="A101" s="3">
        <v>100</v>
      </c>
      <c r="B101" s="4" t="s">
        <v>1075</v>
      </c>
      <c r="D101" s="15" t="s">
        <v>1153</v>
      </c>
      <c r="E101" s="4" t="s">
        <v>1147</v>
      </c>
      <c r="F101" s="4"/>
      <c r="G101" s="4" t="s">
        <v>1154</v>
      </c>
      <c r="H101" s="4" t="s">
        <v>1155</v>
      </c>
      <c r="I101" s="4" t="s">
        <v>1156</v>
      </c>
      <c r="K101" s="4"/>
      <c r="L101" s="4" t="s">
        <v>1157</v>
      </c>
      <c r="M101" s="4" t="s">
        <v>1074</v>
      </c>
      <c r="S101" s="15" t="s">
        <v>406</v>
      </c>
      <c r="T101" s="15" t="s">
        <v>84</v>
      </c>
      <c r="V101" s="14"/>
      <c r="W101" s="15"/>
      <c r="X101" s="4"/>
      <c r="Y101" s="4"/>
      <c r="Z101" s="6"/>
      <c r="AA101" s="3"/>
      <c r="AB101" s="7"/>
      <c r="AC101" s="7"/>
      <c r="AD101" s="6"/>
      <c r="AE101" s="6"/>
      <c r="AF101" s="6"/>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9"/>
      <c r="BE101" s="3"/>
      <c r="BF101" s="3"/>
      <c r="BG101" s="3"/>
      <c r="BH101" s="3"/>
      <c r="BI101" s="3"/>
      <c r="BJ101" s="3"/>
      <c r="BK101" s="3"/>
      <c r="BL101" s="3"/>
      <c r="BM101" s="3"/>
      <c r="BN101" s="3"/>
      <c r="BO101" s="3"/>
      <c r="BP101" s="6"/>
      <c r="BQ101" s="3"/>
      <c r="BR101" s="3"/>
      <c r="BS101" s="3"/>
      <c r="BT101" s="3"/>
    </row>
    <row r="102" spans="1:72" ht="22.5" customHeight="1" x14ac:dyDescent="0.25">
      <c r="A102" s="3">
        <v>101</v>
      </c>
      <c r="B102" s="4" t="s">
        <v>1075</v>
      </c>
      <c r="D102" s="15" t="s">
        <v>1158</v>
      </c>
      <c r="E102" s="4" t="s">
        <v>1147</v>
      </c>
      <c r="F102" s="4"/>
      <c r="G102" s="4" t="s">
        <v>1159</v>
      </c>
      <c r="H102" s="4" t="s">
        <v>1160</v>
      </c>
      <c r="I102" s="4" t="s">
        <v>1161</v>
      </c>
      <c r="K102" s="4"/>
      <c r="L102" s="4" t="s">
        <v>1157</v>
      </c>
      <c r="M102" s="4" t="s">
        <v>1074</v>
      </c>
      <c r="S102" s="15" t="s">
        <v>406</v>
      </c>
      <c r="T102" s="15" t="s">
        <v>84</v>
      </c>
      <c r="V102" s="14"/>
      <c r="W102" s="15"/>
      <c r="X102" s="4"/>
      <c r="Y102" s="4"/>
      <c r="Z102" s="6"/>
      <c r="AA102" s="3"/>
      <c r="AB102" s="7"/>
      <c r="AC102" s="7"/>
      <c r="AD102" s="6"/>
      <c r="AE102" s="6"/>
      <c r="AF102" s="6"/>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9"/>
      <c r="BE102" s="3"/>
      <c r="BF102" s="3"/>
      <c r="BG102" s="3"/>
      <c r="BH102" s="3"/>
      <c r="BI102" s="3"/>
      <c r="BJ102" s="3"/>
      <c r="BK102" s="3"/>
      <c r="BL102" s="3"/>
      <c r="BM102" s="3"/>
      <c r="BN102" s="3"/>
      <c r="BO102" s="3"/>
      <c r="BP102" s="6"/>
      <c r="BQ102" s="3"/>
      <c r="BR102" s="3"/>
      <c r="BS102" s="3"/>
      <c r="BT102" s="3"/>
    </row>
    <row r="103" spans="1:72" ht="22.5" customHeight="1" x14ac:dyDescent="0.25">
      <c r="A103" s="3">
        <v>102</v>
      </c>
      <c r="B103" s="4" t="s">
        <v>1075</v>
      </c>
      <c r="D103" s="15" t="s">
        <v>438</v>
      </c>
      <c r="E103" s="4" t="s">
        <v>1147</v>
      </c>
      <c r="F103" s="4"/>
      <c r="G103" s="4" t="s">
        <v>1162</v>
      </c>
      <c r="H103" s="4" t="s">
        <v>1163</v>
      </c>
      <c r="I103" s="4" t="s">
        <v>1164</v>
      </c>
      <c r="K103" s="4"/>
      <c r="L103" s="4" t="s">
        <v>1165</v>
      </c>
      <c r="M103" s="4" t="s">
        <v>1166</v>
      </c>
      <c r="S103" s="15" t="s">
        <v>406</v>
      </c>
      <c r="T103" s="15" t="s">
        <v>84</v>
      </c>
      <c r="V103" s="14"/>
      <c r="W103" s="15"/>
      <c r="X103" s="4"/>
      <c r="Y103" s="4"/>
      <c r="Z103" s="6"/>
      <c r="AA103" s="3"/>
      <c r="AB103" s="7"/>
      <c r="AC103" s="7"/>
      <c r="AD103" s="6"/>
      <c r="AE103" s="6"/>
      <c r="AF103" s="6"/>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9"/>
      <c r="BE103" s="3"/>
      <c r="BF103" s="3"/>
      <c r="BG103" s="3"/>
      <c r="BH103" s="3"/>
      <c r="BI103" s="3"/>
      <c r="BJ103" s="3"/>
      <c r="BK103" s="3"/>
      <c r="BL103" s="3"/>
      <c r="BM103" s="3"/>
      <c r="BN103" s="3"/>
      <c r="BO103" s="3"/>
      <c r="BP103" s="6"/>
      <c r="BQ103" s="3"/>
      <c r="BR103" s="3"/>
      <c r="BS103" s="3"/>
      <c r="BT103" s="3"/>
    </row>
    <row r="104" spans="1:72" ht="22.5" customHeight="1" x14ac:dyDescent="0.25">
      <c r="A104" s="3">
        <v>103</v>
      </c>
      <c r="B104" s="4" t="s">
        <v>1075</v>
      </c>
      <c r="D104" s="15" t="s">
        <v>438</v>
      </c>
      <c r="E104" s="4" t="s">
        <v>1147</v>
      </c>
      <c r="F104" s="4"/>
      <c r="G104" s="4" t="s">
        <v>1167</v>
      </c>
      <c r="H104" s="4" t="s">
        <v>1168</v>
      </c>
      <c r="I104" s="4" t="s">
        <v>1169</v>
      </c>
      <c r="K104" s="4"/>
      <c r="L104" s="4" t="s">
        <v>1170</v>
      </c>
      <c r="M104" s="4" t="s">
        <v>1171</v>
      </c>
      <c r="S104" s="15" t="s">
        <v>406</v>
      </c>
      <c r="T104" s="15" t="s">
        <v>84</v>
      </c>
      <c r="V104" s="14"/>
      <c r="W104" s="15"/>
      <c r="X104" s="4"/>
      <c r="Y104" s="4"/>
      <c r="Z104" s="6"/>
      <c r="AA104" s="3"/>
      <c r="AB104" s="7"/>
      <c r="AC104" s="7"/>
      <c r="AD104" s="6"/>
      <c r="AE104" s="6"/>
      <c r="AF104" s="6"/>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9"/>
      <c r="BE104" s="3"/>
      <c r="BF104" s="3"/>
      <c r="BG104" s="3"/>
      <c r="BH104" s="3"/>
      <c r="BI104" s="3"/>
      <c r="BJ104" s="3"/>
      <c r="BK104" s="3"/>
      <c r="BL104" s="3"/>
      <c r="BM104" s="3"/>
      <c r="BN104" s="3"/>
      <c r="BO104" s="3"/>
      <c r="BP104" s="6"/>
      <c r="BQ104" s="3"/>
      <c r="BR104" s="3"/>
      <c r="BS104" s="3"/>
      <c r="BT104" s="3"/>
    </row>
    <row r="105" spans="1:72" ht="84" customHeight="1" x14ac:dyDescent="0.25">
      <c r="A105" s="3">
        <v>104</v>
      </c>
      <c r="B105" s="4" t="s">
        <v>1075</v>
      </c>
      <c r="C105" s="15" t="s">
        <v>1076</v>
      </c>
      <c r="D105" s="15" t="s">
        <v>438</v>
      </c>
      <c r="E105" s="4" t="s">
        <v>1172</v>
      </c>
      <c r="F105" s="4"/>
      <c r="G105" s="4" t="s">
        <v>1173</v>
      </c>
      <c r="H105" s="4" t="s">
        <v>1174</v>
      </c>
      <c r="I105" s="4" t="s">
        <v>1175</v>
      </c>
      <c r="J105" s="4" t="s">
        <v>1176</v>
      </c>
      <c r="K105" s="4" t="s">
        <v>1177</v>
      </c>
      <c r="L105" s="4" t="s">
        <v>1178</v>
      </c>
      <c r="M105" s="4" t="s">
        <v>1179</v>
      </c>
      <c r="S105" s="15" t="s">
        <v>406</v>
      </c>
      <c r="T105" s="15" t="s">
        <v>84</v>
      </c>
      <c r="V105" s="14"/>
      <c r="W105" s="15"/>
      <c r="X105" s="4" t="s">
        <v>86</v>
      </c>
      <c r="Y105" s="45">
        <f>6176965591.6+11337589108.2</f>
        <v>17514554699.800003</v>
      </c>
      <c r="Z105" s="6">
        <f>6681635730.78+11876480343.34</f>
        <v>18558116074.119999</v>
      </c>
      <c r="AA105" s="46"/>
      <c r="AB105" s="7"/>
      <c r="AC105" s="7"/>
      <c r="AD105" s="6"/>
      <c r="AE105" s="6"/>
      <c r="AF105" s="6">
        <f t="shared" ref="AF105:AF106" si="28">Y105/Z105</f>
        <v>0.94376792503333451</v>
      </c>
      <c r="AG105" s="3"/>
      <c r="AH105" s="3"/>
      <c r="AI105" s="3"/>
      <c r="AJ105" s="3"/>
      <c r="AK105" s="46">
        <v>12719518272.969999</v>
      </c>
      <c r="AL105" s="46">
        <v>13000770647.83</v>
      </c>
      <c r="AM105" s="3"/>
      <c r="AN105" s="3"/>
      <c r="AO105" s="3"/>
      <c r="AP105" s="3"/>
      <c r="AQ105" s="3"/>
      <c r="AR105" s="6">
        <f t="shared" ref="AR105:AR106" si="29">AK105/AL105</f>
        <v>0.97836648438168194</v>
      </c>
      <c r="AS105" s="3"/>
      <c r="AT105" s="3"/>
      <c r="AU105" s="3"/>
      <c r="AV105" s="3"/>
      <c r="AW105" s="46">
        <v>13933406459.860001</v>
      </c>
      <c r="AX105" s="46">
        <v>14144072505.85</v>
      </c>
      <c r="AY105" s="3"/>
      <c r="AZ105" s="3"/>
      <c r="BA105" s="3"/>
      <c r="BB105" s="3"/>
      <c r="BC105" s="3"/>
      <c r="BD105" s="9">
        <f t="shared" ref="BD105:BD106" si="30">AW105/AX105</f>
        <v>0.98510570092857852</v>
      </c>
      <c r="BE105" s="3" t="s">
        <v>1180</v>
      </c>
      <c r="BF105" s="3" t="s">
        <v>1181</v>
      </c>
      <c r="BG105" s="3"/>
      <c r="BH105" s="3"/>
      <c r="BI105" s="3"/>
      <c r="BJ105" s="3"/>
      <c r="BK105" s="3"/>
      <c r="BL105" s="3"/>
      <c r="BM105" s="3"/>
      <c r="BN105" s="3"/>
      <c r="BO105" s="3"/>
      <c r="BP105" s="6"/>
      <c r="BQ105" s="3"/>
      <c r="BR105" s="3"/>
      <c r="BS105" s="3"/>
      <c r="BT105" s="3"/>
    </row>
    <row r="106" spans="1:72" ht="151.5" customHeight="1" x14ac:dyDescent="0.25">
      <c r="A106" s="3">
        <v>105</v>
      </c>
      <c r="B106" s="4" t="s">
        <v>1075</v>
      </c>
      <c r="C106" s="15" t="s">
        <v>1182</v>
      </c>
      <c r="D106" s="15" t="s">
        <v>130</v>
      </c>
      <c r="E106" s="15" t="s">
        <v>1183</v>
      </c>
      <c r="F106" s="4"/>
      <c r="G106" s="4" t="s">
        <v>1184</v>
      </c>
      <c r="H106" s="4" t="s">
        <v>1185</v>
      </c>
      <c r="I106" s="4" t="s">
        <v>1186</v>
      </c>
      <c r="K106" s="4"/>
      <c r="L106" s="4" t="s">
        <v>1187</v>
      </c>
      <c r="M106" s="4" t="s">
        <v>1188</v>
      </c>
      <c r="S106" s="15" t="s">
        <v>406</v>
      </c>
      <c r="T106" s="15" t="s">
        <v>84</v>
      </c>
      <c r="V106" s="14"/>
      <c r="W106" s="15"/>
      <c r="X106" s="4" t="s">
        <v>86</v>
      </c>
      <c r="Y106" s="4">
        <f>24459952197+36676864450</f>
        <v>61136816647</v>
      </c>
      <c r="Z106" s="6">
        <f>120018789155+76273000000</f>
        <v>196291789155</v>
      </c>
      <c r="AA106" s="3"/>
      <c r="AB106" s="7"/>
      <c r="AC106" s="7"/>
      <c r="AD106" s="6"/>
      <c r="AE106" s="6"/>
      <c r="AF106" s="6">
        <f t="shared" si="28"/>
        <v>0.31145885882533719</v>
      </c>
      <c r="AG106" s="3" t="s">
        <v>1189</v>
      </c>
      <c r="AH106" s="3"/>
      <c r="AI106" s="3"/>
      <c r="AJ106" s="3"/>
      <c r="AK106" s="11">
        <f>32629399556+42644694610</f>
        <v>75274094166</v>
      </c>
      <c r="AL106" s="3">
        <f>120018789155+76273000000</f>
        <v>196291789155</v>
      </c>
      <c r="AM106" s="3"/>
      <c r="AN106" s="3"/>
      <c r="AO106" s="3"/>
      <c r="AP106" s="3"/>
      <c r="AQ106" s="3"/>
      <c r="AR106" s="6">
        <f t="shared" si="29"/>
        <v>0.3834806055313934</v>
      </c>
      <c r="AS106" s="3" t="s">
        <v>1190</v>
      </c>
      <c r="AT106" s="3"/>
      <c r="AU106" s="3"/>
      <c r="AV106" s="3"/>
      <c r="AW106" s="11">
        <f>41460807380+50073183965</f>
        <v>91533991345</v>
      </c>
      <c r="AX106" s="3">
        <f>120018789155+76273000000</f>
        <v>196291789155</v>
      </c>
      <c r="AY106" s="3"/>
      <c r="AZ106" s="3"/>
      <c r="BA106" s="3"/>
      <c r="BB106" s="3"/>
      <c r="BC106" s="3"/>
      <c r="BD106" s="9">
        <f t="shared" si="30"/>
        <v>0.46631594596512149</v>
      </c>
      <c r="BE106" s="3" t="s">
        <v>1191</v>
      </c>
      <c r="BF106" s="3" t="s">
        <v>1192</v>
      </c>
      <c r="BG106" s="3" t="s">
        <v>130</v>
      </c>
      <c r="BH106" s="3"/>
      <c r="BI106" s="3"/>
      <c r="BJ106" s="3"/>
      <c r="BK106" s="3"/>
      <c r="BL106" s="3"/>
      <c r="BM106" s="3"/>
      <c r="BN106" s="3"/>
      <c r="BO106" s="3"/>
      <c r="BP106" s="6"/>
      <c r="BQ106" s="3"/>
      <c r="BR106" s="3"/>
      <c r="BS106" s="3"/>
      <c r="BT106" s="3"/>
    </row>
    <row r="107" spans="1:72" ht="127.5" customHeight="1" x14ac:dyDescent="0.25">
      <c r="A107" s="3">
        <v>106</v>
      </c>
      <c r="B107" s="4" t="s">
        <v>1075</v>
      </c>
      <c r="D107" s="15" t="s">
        <v>438</v>
      </c>
      <c r="E107" s="4" t="s">
        <v>1193</v>
      </c>
      <c r="F107" s="4"/>
      <c r="G107" s="4" t="s">
        <v>1194</v>
      </c>
      <c r="H107" s="4" t="s">
        <v>1195</v>
      </c>
      <c r="I107" s="4" t="s">
        <v>1196</v>
      </c>
      <c r="K107" s="4" t="s">
        <v>756</v>
      </c>
      <c r="L107" s="4" t="s">
        <v>1197</v>
      </c>
      <c r="M107" s="4" t="s">
        <v>1198</v>
      </c>
      <c r="S107" s="15" t="s">
        <v>406</v>
      </c>
      <c r="T107" s="15" t="s">
        <v>407</v>
      </c>
      <c r="V107" s="14"/>
      <c r="W107" s="15"/>
      <c r="X107" s="4" t="s">
        <v>140</v>
      </c>
      <c r="Y107" s="4"/>
      <c r="Z107" s="6"/>
      <c r="AA107" s="3"/>
      <c r="AB107" s="7"/>
      <c r="AC107" s="7"/>
      <c r="AD107" s="6"/>
      <c r="AE107" s="6"/>
      <c r="AF107" s="6"/>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9"/>
      <c r="BE107" s="3"/>
      <c r="BF107" s="3"/>
      <c r="BG107" s="3"/>
      <c r="BH107" s="3"/>
      <c r="BI107" s="3"/>
      <c r="BJ107" s="3"/>
      <c r="BK107" s="3"/>
      <c r="BL107" s="3"/>
      <c r="BM107" s="3"/>
      <c r="BN107" s="3"/>
      <c r="BO107" s="3"/>
      <c r="BP107" s="6"/>
      <c r="BQ107" s="3"/>
      <c r="BR107" s="3"/>
      <c r="BS107" s="3"/>
      <c r="BT107" s="3"/>
    </row>
    <row r="108" spans="1:72" ht="22.5" customHeight="1" x14ac:dyDescent="0.25">
      <c r="A108" s="3">
        <v>107</v>
      </c>
      <c r="B108" s="4" t="s">
        <v>1075</v>
      </c>
      <c r="D108" s="15" t="s">
        <v>438</v>
      </c>
      <c r="E108" s="4" t="s">
        <v>1193</v>
      </c>
      <c r="F108" s="4"/>
      <c r="G108" s="4" t="s">
        <v>1199</v>
      </c>
      <c r="H108" s="4" t="s">
        <v>1200</v>
      </c>
      <c r="I108" s="4" t="s">
        <v>1201</v>
      </c>
      <c r="K108" s="4" t="s">
        <v>639</v>
      </c>
      <c r="L108" s="4" t="s">
        <v>1202</v>
      </c>
      <c r="M108" s="4"/>
      <c r="S108" s="15" t="s">
        <v>139</v>
      </c>
      <c r="T108" s="15" t="s">
        <v>407</v>
      </c>
      <c r="V108" s="14"/>
      <c r="W108" s="15"/>
      <c r="X108" s="4" t="s">
        <v>140</v>
      </c>
      <c r="Y108" s="4"/>
      <c r="Z108" s="6"/>
      <c r="AA108" s="3"/>
      <c r="AB108" s="7"/>
      <c r="AC108" s="7"/>
      <c r="AD108" s="6"/>
      <c r="AE108" s="6"/>
      <c r="AF108" s="6"/>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9"/>
      <c r="BE108" s="3"/>
      <c r="BF108" s="3"/>
      <c r="BG108" s="3"/>
      <c r="BH108" s="3"/>
      <c r="BI108" s="3"/>
      <c r="BJ108" s="3"/>
      <c r="BK108" s="3"/>
      <c r="BL108" s="3"/>
      <c r="BM108" s="3"/>
      <c r="BN108" s="3"/>
      <c r="BO108" s="3"/>
      <c r="BP108" s="6"/>
      <c r="BQ108" s="3"/>
      <c r="BR108" s="3"/>
      <c r="BS108" s="3"/>
      <c r="BT108" s="3"/>
    </row>
    <row r="109" spans="1:72" ht="111" customHeight="1" x14ac:dyDescent="0.25">
      <c r="A109" s="3">
        <v>108</v>
      </c>
      <c r="B109" s="4" t="s">
        <v>1075</v>
      </c>
      <c r="D109" s="15" t="s">
        <v>438</v>
      </c>
      <c r="E109" s="4" t="s">
        <v>1203</v>
      </c>
      <c r="F109" s="4"/>
      <c r="G109" s="47" t="s">
        <v>1204</v>
      </c>
      <c r="H109" s="47" t="s">
        <v>1205</v>
      </c>
      <c r="I109" s="4" t="s">
        <v>1206</v>
      </c>
      <c r="K109" s="4" t="s">
        <v>1207</v>
      </c>
      <c r="L109" s="4" t="s">
        <v>1208</v>
      </c>
      <c r="M109" s="4" t="s">
        <v>1208</v>
      </c>
      <c r="N109" s="4" t="s">
        <v>1209</v>
      </c>
      <c r="O109" s="4" t="s">
        <v>1210</v>
      </c>
      <c r="P109" s="4" t="s">
        <v>1211</v>
      </c>
      <c r="Q109" s="4" t="s">
        <v>1212</v>
      </c>
      <c r="S109" s="15" t="s">
        <v>139</v>
      </c>
      <c r="T109" s="15" t="s">
        <v>407</v>
      </c>
      <c r="V109" s="14">
        <v>76</v>
      </c>
      <c r="W109" s="15"/>
      <c r="X109" s="4" t="s">
        <v>219</v>
      </c>
      <c r="Y109" s="4">
        <v>10</v>
      </c>
      <c r="Z109" s="6">
        <v>6</v>
      </c>
      <c r="AA109" s="3">
        <v>7</v>
      </c>
      <c r="AB109" s="3">
        <v>0</v>
      </c>
      <c r="AC109" s="3">
        <v>0</v>
      </c>
      <c r="AD109" s="6"/>
      <c r="AE109" s="6"/>
      <c r="AF109" s="6">
        <f>SUM(Y109:AC109)</f>
        <v>23</v>
      </c>
      <c r="AG109" s="3" t="s">
        <v>1213</v>
      </c>
      <c r="AH109" s="3" t="s">
        <v>1214</v>
      </c>
      <c r="AI109" s="3" t="s">
        <v>1215</v>
      </c>
      <c r="AJ109" s="3"/>
      <c r="AK109" s="3">
        <v>4</v>
      </c>
      <c r="AL109" s="3">
        <v>7</v>
      </c>
      <c r="AM109" s="3">
        <v>6</v>
      </c>
      <c r="AN109" s="3">
        <v>1</v>
      </c>
      <c r="AO109" s="3">
        <v>1</v>
      </c>
      <c r="AP109" s="3"/>
      <c r="AQ109" s="3"/>
      <c r="AR109" s="6">
        <f>SUM(AK109:AO109)</f>
        <v>19</v>
      </c>
      <c r="AS109" s="3" t="s">
        <v>1216</v>
      </c>
      <c r="AT109" s="3" t="s">
        <v>1217</v>
      </c>
      <c r="AU109" s="3"/>
      <c r="AV109" s="3"/>
      <c r="AW109" s="3">
        <v>2</v>
      </c>
      <c r="AX109" s="3">
        <v>11</v>
      </c>
      <c r="AY109" s="3">
        <v>3</v>
      </c>
      <c r="AZ109" s="3">
        <v>0</v>
      </c>
      <c r="BA109" s="3">
        <v>0</v>
      </c>
      <c r="BB109" s="3"/>
      <c r="BC109" s="3"/>
      <c r="BD109" s="9">
        <f>SUM(AW109:BA109)</f>
        <v>16</v>
      </c>
      <c r="BE109" s="3" t="s">
        <v>1216</v>
      </c>
      <c r="BF109" s="3" t="s">
        <v>1217</v>
      </c>
      <c r="BG109" s="3"/>
      <c r="BH109" s="3"/>
      <c r="BI109" s="3"/>
      <c r="BJ109" s="3"/>
      <c r="BK109" s="3"/>
      <c r="BL109" s="3"/>
      <c r="BM109" s="3"/>
      <c r="BN109" s="3"/>
      <c r="BO109" s="3"/>
      <c r="BP109" s="6"/>
      <c r="BQ109" s="3"/>
      <c r="BR109" s="3"/>
      <c r="BS109" s="3"/>
      <c r="BT109" s="3"/>
    </row>
    <row r="110" spans="1:72" ht="22.5" customHeight="1" x14ac:dyDescent="0.25">
      <c r="A110" s="3">
        <v>109</v>
      </c>
      <c r="B110" s="4" t="s">
        <v>1075</v>
      </c>
      <c r="D110" s="15" t="s">
        <v>438</v>
      </c>
      <c r="E110" s="4" t="s">
        <v>1193</v>
      </c>
      <c r="F110" s="4"/>
      <c r="G110" s="4" t="s">
        <v>1218</v>
      </c>
      <c r="H110" s="4" t="s">
        <v>1219</v>
      </c>
      <c r="I110" s="4" t="s">
        <v>1220</v>
      </c>
      <c r="K110" s="4" t="s">
        <v>756</v>
      </c>
      <c r="L110" s="4" t="s">
        <v>1221</v>
      </c>
      <c r="M110" s="4" t="s">
        <v>1222</v>
      </c>
      <c r="S110" s="15" t="s">
        <v>139</v>
      </c>
      <c r="T110" s="15" t="s">
        <v>407</v>
      </c>
      <c r="V110" s="14"/>
      <c r="W110" s="15"/>
      <c r="X110" s="4" t="s">
        <v>140</v>
      </c>
      <c r="Y110" s="4"/>
      <c r="Z110" s="6"/>
      <c r="AA110" s="3"/>
      <c r="AB110" s="7"/>
      <c r="AC110" s="7"/>
      <c r="AD110" s="6"/>
      <c r="AE110" s="6"/>
      <c r="AF110" s="6"/>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9"/>
      <c r="BE110" s="3"/>
      <c r="BF110" s="3"/>
      <c r="BG110" s="3"/>
      <c r="BH110" s="3"/>
      <c r="BI110" s="3"/>
      <c r="BJ110" s="3"/>
      <c r="BK110" s="3"/>
      <c r="BL110" s="3"/>
      <c r="BM110" s="3"/>
      <c r="BN110" s="3"/>
      <c r="BO110" s="3"/>
      <c r="BP110" s="6"/>
      <c r="BQ110" s="3"/>
      <c r="BR110" s="3"/>
      <c r="BS110" s="3"/>
      <c r="BT110" s="3"/>
    </row>
    <row r="111" spans="1:72" ht="108.75" customHeight="1" x14ac:dyDescent="0.25">
      <c r="A111" s="3">
        <v>110</v>
      </c>
      <c r="B111" s="4" t="s">
        <v>1075</v>
      </c>
      <c r="D111" s="15" t="s">
        <v>438</v>
      </c>
      <c r="E111" s="4" t="s">
        <v>1203</v>
      </c>
      <c r="F111" s="4"/>
      <c r="G111" s="47" t="s">
        <v>1223</v>
      </c>
      <c r="H111" s="47" t="s">
        <v>1224</v>
      </c>
      <c r="I111" s="4" t="s">
        <v>1225</v>
      </c>
      <c r="K111" s="4"/>
      <c r="L111" s="4" t="s">
        <v>1226</v>
      </c>
      <c r="M111" s="4" t="s">
        <v>1227</v>
      </c>
      <c r="N111" s="15" t="s">
        <v>1228</v>
      </c>
      <c r="O111" s="15" t="s">
        <v>1229</v>
      </c>
      <c r="S111" s="15" t="s">
        <v>139</v>
      </c>
      <c r="T111" s="15" t="s">
        <v>407</v>
      </c>
      <c r="V111" s="14">
        <f>237+67</f>
        <v>304</v>
      </c>
      <c r="W111" s="15"/>
      <c r="X111" s="4" t="s">
        <v>86</v>
      </c>
      <c r="Y111" s="4">
        <v>78</v>
      </c>
      <c r="Z111" s="6">
        <v>10</v>
      </c>
      <c r="AA111" s="3"/>
      <c r="AB111" s="7"/>
      <c r="AC111" s="7"/>
      <c r="AD111" s="6"/>
      <c r="AE111" s="6"/>
      <c r="AF111" s="6">
        <f t="shared" ref="AF111:AF112" si="31">SUM(Y111:Z111)</f>
        <v>88</v>
      </c>
      <c r="AG111" s="3" t="s">
        <v>1230</v>
      </c>
      <c r="AH111" s="3" t="s">
        <v>1231</v>
      </c>
      <c r="AI111" s="3"/>
      <c r="AJ111" s="3"/>
      <c r="AK111" s="3">
        <v>27</v>
      </c>
      <c r="AL111" s="3">
        <v>10</v>
      </c>
      <c r="AM111" s="3"/>
      <c r="AN111" s="3"/>
      <c r="AO111" s="3"/>
      <c r="AP111" s="3"/>
      <c r="AQ111" s="3"/>
      <c r="AR111" s="3">
        <f t="shared" ref="AR111:AR112" si="32">SUM(AK111:AQ111)</f>
        <v>37</v>
      </c>
      <c r="AS111" s="3" t="s">
        <v>1232</v>
      </c>
      <c r="AT111" s="3" t="s">
        <v>1233</v>
      </c>
      <c r="AU111" s="3"/>
      <c r="AV111" s="3"/>
      <c r="AW111" s="3">
        <v>46</v>
      </c>
      <c r="AX111" s="3">
        <v>20</v>
      </c>
      <c r="AY111" s="3"/>
      <c r="AZ111" s="3"/>
      <c r="BA111" s="3"/>
      <c r="BB111" s="3"/>
      <c r="BC111" s="3"/>
      <c r="BD111" s="9">
        <f t="shared" ref="BD111:BD112" si="33">SUM(AW111:BA111)</f>
        <v>66</v>
      </c>
      <c r="BE111" s="3" t="s">
        <v>1232</v>
      </c>
      <c r="BF111" s="3" t="s">
        <v>1233</v>
      </c>
      <c r="BG111" s="3"/>
      <c r="BH111" s="3"/>
      <c r="BI111" s="3"/>
      <c r="BJ111" s="3"/>
      <c r="BK111" s="3"/>
      <c r="BL111" s="3"/>
      <c r="BM111" s="3"/>
      <c r="BN111" s="3"/>
      <c r="BO111" s="3"/>
      <c r="BP111" s="6"/>
      <c r="BQ111" s="3"/>
      <c r="BR111" s="3"/>
      <c r="BS111" s="3"/>
      <c r="BT111" s="3"/>
    </row>
    <row r="112" spans="1:72" ht="180" customHeight="1" x14ac:dyDescent="0.25">
      <c r="A112" s="3">
        <v>111</v>
      </c>
      <c r="B112" s="4" t="s">
        <v>1075</v>
      </c>
      <c r="D112" s="15" t="s">
        <v>438</v>
      </c>
      <c r="E112" s="4" t="s">
        <v>1203</v>
      </c>
      <c r="F112" s="4"/>
      <c r="G112" s="47" t="s">
        <v>1234</v>
      </c>
      <c r="H112" s="47" t="s">
        <v>1235</v>
      </c>
      <c r="I112" s="4" t="s">
        <v>1236</v>
      </c>
      <c r="K112" s="4"/>
      <c r="L112" s="4" t="s">
        <v>1237</v>
      </c>
      <c r="M112" s="4" t="s">
        <v>1238</v>
      </c>
      <c r="S112" s="15" t="s">
        <v>693</v>
      </c>
      <c r="T112" s="15" t="s">
        <v>84</v>
      </c>
      <c r="V112" s="14"/>
      <c r="W112" s="15"/>
      <c r="X112" s="4" t="s">
        <v>86</v>
      </c>
      <c r="Y112" s="4">
        <v>25</v>
      </c>
      <c r="Z112" s="6">
        <v>16</v>
      </c>
      <c r="AA112" s="3"/>
      <c r="AB112" s="7"/>
      <c r="AC112" s="7"/>
      <c r="AD112" s="6"/>
      <c r="AE112" s="6"/>
      <c r="AF112" s="6">
        <f t="shared" si="31"/>
        <v>41</v>
      </c>
      <c r="AG112" s="3" t="s">
        <v>1239</v>
      </c>
      <c r="AH112" s="3" t="s">
        <v>1240</v>
      </c>
      <c r="AI112" s="3"/>
      <c r="AJ112" s="3"/>
      <c r="AK112" s="3">
        <v>0</v>
      </c>
      <c r="AL112" s="3">
        <v>8</v>
      </c>
      <c r="AM112" s="3"/>
      <c r="AN112" s="3"/>
      <c r="AO112" s="3"/>
      <c r="AP112" s="3"/>
      <c r="AQ112" s="3"/>
      <c r="AR112" s="3">
        <f t="shared" si="32"/>
        <v>8</v>
      </c>
      <c r="AS112" s="3" t="s">
        <v>1241</v>
      </c>
      <c r="AT112" s="3" t="s">
        <v>1241</v>
      </c>
      <c r="AU112" s="3"/>
      <c r="AV112" s="3"/>
      <c r="AW112" s="3">
        <v>25</v>
      </c>
      <c r="AX112" s="3">
        <v>7</v>
      </c>
      <c r="AY112" s="3"/>
      <c r="AZ112" s="3"/>
      <c r="BA112" s="3"/>
      <c r="BB112" s="3"/>
      <c r="BC112" s="3"/>
      <c r="BD112" s="9">
        <f t="shared" si="33"/>
        <v>32</v>
      </c>
      <c r="BE112" s="3" t="s">
        <v>1242</v>
      </c>
      <c r="BF112" s="3" t="s">
        <v>1243</v>
      </c>
      <c r="BG112" s="3"/>
      <c r="BH112" s="3"/>
      <c r="BI112" s="3"/>
      <c r="BJ112" s="3"/>
      <c r="BK112" s="3"/>
      <c r="BL112" s="3"/>
      <c r="BM112" s="3"/>
      <c r="BN112" s="3"/>
      <c r="BO112" s="3"/>
      <c r="BP112" s="6"/>
      <c r="BQ112" s="3"/>
      <c r="BR112" s="3"/>
      <c r="BS112" s="3"/>
      <c r="BT112" s="3"/>
    </row>
    <row r="113" spans="1:72" ht="126.75" customHeight="1" x14ac:dyDescent="0.25">
      <c r="A113" s="3">
        <v>112</v>
      </c>
      <c r="B113" s="4" t="s">
        <v>1075</v>
      </c>
      <c r="D113" s="15" t="s">
        <v>438</v>
      </c>
      <c r="E113" s="4" t="s">
        <v>1203</v>
      </c>
      <c r="F113" s="4"/>
      <c r="G113" s="47" t="s">
        <v>1244</v>
      </c>
      <c r="H113" s="47" t="s">
        <v>1245</v>
      </c>
      <c r="I113" s="4" t="s">
        <v>1246</v>
      </c>
      <c r="K113" s="4"/>
      <c r="L113" s="4" t="s">
        <v>1247</v>
      </c>
      <c r="M113" s="4"/>
      <c r="S113" s="15" t="s">
        <v>693</v>
      </c>
      <c r="T113" s="15" t="s">
        <v>407</v>
      </c>
      <c r="V113" s="14"/>
      <c r="W113" s="15"/>
      <c r="X113" s="4" t="s">
        <v>86</v>
      </c>
      <c r="Y113" s="4">
        <v>12</v>
      </c>
      <c r="Z113" s="6"/>
      <c r="AA113" s="3"/>
      <c r="AB113" s="7"/>
      <c r="AC113" s="7"/>
      <c r="AD113" s="6"/>
      <c r="AE113" s="6"/>
      <c r="AF113" s="6">
        <f>SUM(Y113)</f>
        <v>12</v>
      </c>
      <c r="AG113" s="3" t="s">
        <v>1248</v>
      </c>
      <c r="AH113" s="3"/>
      <c r="AI113" s="3"/>
      <c r="AJ113" s="3"/>
      <c r="AK113" s="3">
        <v>3</v>
      </c>
      <c r="AL113" s="3"/>
      <c r="AM113" s="3"/>
      <c r="AN113" s="3"/>
      <c r="AO113" s="3"/>
      <c r="AP113" s="3"/>
      <c r="AQ113" s="3"/>
      <c r="AR113" s="3">
        <f>AK113</f>
        <v>3</v>
      </c>
      <c r="AS113" s="3" t="s">
        <v>1249</v>
      </c>
      <c r="AT113" s="3" t="s">
        <v>1250</v>
      </c>
      <c r="AU113" s="3"/>
      <c r="AV113" s="3"/>
      <c r="AW113" s="3">
        <v>6</v>
      </c>
      <c r="AX113" s="3"/>
      <c r="AY113" s="3"/>
      <c r="AZ113" s="3"/>
      <c r="BA113" s="3"/>
      <c r="BB113" s="3"/>
      <c r="BC113" s="3"/>
      <c r="BD113" s="9">
        <f>AW113</f>
        <v>6</v>
      </c>
      <c r="BE113" s="3" t="s">
        <v>1251</v>
      </c>
      <c r="BF113" s="3" t="s">
        <v>1252</v>
      </c>
      <c r="BG113" s="3"/>
      <c r="BH113" s="3"/>
      <c r="BI113" s="3"/>
      <c r="BJ113" s="3"/>
      <c r="BK113" s="3"/>
      <c r="BL113" s="3"/>
      <c r="BM113" s="3"/>
      <c r="BN113" s="3"/>
      <c r="BO113" s="3"/>
      <c r="BP113" s="6"/>
      <c r="BQ113" s="3"/>
      <c r="BR113" s="3"/>
      <c r="BS113" s="3"/>
      <c r="BT113" s="3"/>
    </row>
    <row r="114" spans="1:72" ht="22.5" customHeight="1" x14ac:dyDescent="0.25">
      <c r="A114" s="3">
        <v>113</v>
      </c>
      <c r="B114" s="4" t="s">
        <v>1075</v>
      </c>
      <c r="D114" s="15" t="s">
        <v>438</v>
      </c>
      <c r="E114" s="4" t="s">
        <v>1193</v>
      </c>
      <c r="F114" s="4"/>
      <c r="G114" s="48" t="s">
        <v>1244</v>
      </c>
      <c r="H114" s="48" t="s">
        <v>1253</v>
      </c>
      <c r="I114" s="4" t="s">
        <v>1254</v>
      </c>
      <c r="K114" s="4"/>
      <c r="L114" s="4" t="s">
        <v>1255</v>
      </c>
      <c r="M114" s="4"/>
      <c r="S114" s="15" t="s">
        <v>693</v>
      </c>
      <c r="T114" s="15" t="s">
        <v>407</v>
      </c>
      <c r="V114" s="14"/>
      <c r="W114" s="15"/>
      <c r="X114" s="4" t="s">
        <v>140</v>
      </c>
      <c r="Y114" s="4"/>
      <c r="Z114" s="6"/>
      <c r="AA114" s="3"/>
      <c r="AB114" s="7"/>
      <c r="AC114" s="7"/>
      <c r="AD114" s="6"/>
      <c r="AE114" s="6"/>
      <c r="AF114" s="6"/>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9"/>
      <c r="BE114" s="3"/>
      <c r="BF114" s="3"/>
      <c r="BG114" s="3"/>
      <c r="BH114" s="3"/>
      <c r="BI114" s="3"/>
      <c r="BJ114" s="3"/>
      <c r="BK114" s="3"/>
      <c r="BL114" s="3"/>
      <c r="BM114" s="3"/>
      <c r="BN114" s="3"/>
      <c r="BO114" s="3"/>
      <c r="BP114" s="6"/>
      <c r="BQ114" s="3"/>
      <c r="BR114" s="3"/>
      <c r="BS114" s="3"/>
      <c r="BT114" s="3"/>
    </row>
    <row r="115" spans="1:72" ht="92.25" customHeight="1" x14ac:dyDescent="0.25">
      <c r="A115" s="3">
        <v>114</v>
      </c>
      <c r="B115" s="4" t="s">
        <v>1075</v>
      </c>
      <c r="D115" s="15" t="s">
        <v>438</v>
      </c>
      <c r="E115" s="4" t="s">
        <v>1203</v>
      </c>
      <c r="F115" s="4"/>
      <c r="G115" s="47" t="s">
        <v>1256</v>
      </c>
      <c r="H115" s="47" t="s">
        <v>1257</v>
      </c>
      <c r="I115" s="4" t="s">
        <v>1258</v>
      </c>
      <c r="K115" s="4"/>
      <c r="L115" s="4" t="s">
        <v>1259</v>
      </c>
      <c r="M115" s="4" t="s">
        <v>1260</v>
      </c>
      <c r="S115" s="15" t="s">
        <v>406</v>
      </c>
      <c r="T115" s="15" t="s">
        <v>84</v>
      </c>
      <c r="V115" s="14">
        <v>369</v>
      </c>
      <c r="W115" s="15"/>
      <c r="X115" s="4" t="s">
        <v>219</v>
      </c>
      <c r="Y115" s="4">
        <f>17+45</f>
        <v>62</v>
      </c>
      <c r="Z115" s="6">
        <f>17+46</f>
        <v>63</v>
      </c>
      <c r="AA115" s="3"/>
      <c r="AB115" s="7"/>
      <c r="AC115" s="7"/>
      <c r="AD115" s="6"/>
      <c r="AE115" s="6"/>
      <c r="AF115" s="6">
        <f>Y115/Z115</f>
        <v>0.98412698412698407</v>
      </c>
      <c r="AG115" s="3" t="s">
        <v>1261</v>
      </c>
      <c r="AH115" s="3" t="s">
        <v>1262</v>
      </c>
      <c r="AI115" s="3"/>
      <c r="AJ115" s="3" t="s">
        <v>1263</v>
      </c>
      <c r="AK115" s="3">
        <v>39</v>
      </c>
      <c r="AL115" s="3">
        <v>39</v>
      </c>
      <c r="AM115" s="3"/>
      <c r="AN115" s="3"/>
      <c r="AO115" s="3"/>
      <c r="AP115" s="3"/>
      <c r="AQ115" s="3"/>
      <c r="AR115" s="3">
        <f>AK115/AL115</f>
        <v>1</v>
      </c>
      <c r="AS115" s="3" t="s">
        <v>1264</v>
      </c>
      <c r="AT115" s="3" t="s">
        <v>1265</v>
      </c>
      <c r="AU115" s="3"/>
      <c r="AV115" s="3"/>
      <c r="AW115" s="3">
        <v>42</v>
      </c>
      <c r="AX115" s="3">
        <v>42</v>
      </c>
      <c r="AY115" s="3"/>
      <c r="AZ115" s="3"/>
      <c r="BA115" s="3"/>
      <c r="BB115" s="3"/>
      <c r="BC115" s="3"/>
      <c r="BD115" s="9">
        <f>AW115/AX115</f>
        <v>1</v>
      </c>
      <c r="BE115" s="3" t="s">
        <v>1266</v>
      </c>
      <c r="BF115" s="3" t="s">
        <v>1267</v>
      </c>
      <c r="BG115" s="3"/>
      <c r="BH115" s="3"/>
      <c r="BI115" s="3"/>
      <c r="BJ115" s="3"/>
      <c r="BK115" s="3"/>
      <c r="BL115" s="3"/>
      <c r="BM115" s="3"/>
      <c r="BN115" s="3"/>
      <c r="BO115" s="3"/>
      <c r="BP115" s="6"/>
      <c r="BQ115" s="3"/>
      <c r="BR115" s="3"/>
      <c r="BS115" s="3"/>
      <c r="BT115" s="3"/>
    </row>
    <row r="116" spans="1:72" ht="22.5" customHeight="1" x14ac:dyDescent="0.25">
      <c r="A116" s="3">
        <v>115</v>
      </c>
      <c r="B116" s="4" t="s">
        <v>1075</v>
      </c>
      <c r="D116" s="15" t="s">
        <v>438</v>
      </c>
      <c r="E116" s="4" t="s">
        <v>1203</v>
      </c>
      <c r="F116" s="4"/>
      <c r="G116" s="47" t="s">
        <v>1194</v>
      </c>
      <c r="H116" s="47" t="s">
        <v>1268</v>
      </c>
      <c r="I116" s="4" t="s">
        <v>1269</v>
      </c>
      <c r="K116" s="4"/>
      <c r="L116" s="4" t="s">
        <v>1270</v>
      </c>
      <c r="M116" s="4"/>
      <c r="S116" s="15" t="s">
        <v>83</v>
      </c>
      <c r="T116" s="15" t="s">
        <v>105</v>
      </c>
      <c r="V116" s="14"/>
      <c r="W116" s="15"/>
      <c r="X116" s="4" t="s">
        <v>219</v>
      </c>
      <c r="Y116" s="4">
        <v>1</v>
      </c>
      <c r="Z116" s="6"/>
      <c r="AA116" s="3"/>
      <c r="AB116" s="7"/>
      <c r="AC116" s="7"/>
      <c r="AD116" s="6"/>
      <c r="AE116" s="6"/>
      <c r="AF116" s="6">
        <f>SUM(Y116)</f>
        <v>1</v>
      </c>
      <c r="AG116" s="3" t="s">
        <v>1271</v>
      </c>
      <c r="AH116" s="3" t="s">
        <v>1272</v>
      </c>
      <c r="AI116" s="3" t="s">
        <v>1215</v>
      </c>
      <c r="AJ116" s="3"/>
      <c r="AK116" s="3">
        <v>0</v>
      </c>
      <c r="AL116" s="3"/>
      <c r="AM116" s="3"/>
      <c r="AN116" s="3"/>
      <c r="AO116" s="3"/>
      <c r="AP116" s="3"/>
      <c r="AQ116" s="3"/>
      <c r="AR116" s="3">
        <f>SUM(AK116:AQ116)</f>
        <v>0</v>
      </c>
      <c r="AS116" s="3" t="s">
        <v>1273</v>
      </c>
      <c r="AT116" s="3" t="s">
        <v>1274</v>
      </c>
      <c r="AV116" s="3" t="s">
        <v>1275</v>
      </c>
      <c r="AW116" s="3">
        <v>0</v>
      </c>
      <c r="AX116" s="3"/>
      <c r="AY116" s="3"/>
      <c r="AZ116" s="3"/>
      <c r="BA116" s="3"/>
      <c r="BB116" s="3"/>
      <c r="BC116" s="3"/>
      <c r="BD116" s="9">
        <f>SUM(AW116:BC116)</f>
        <v>0</v>
      </c>
      <c r="BE116" s="3" t="s">
        <v>1273</v>
      </c>
      <c r="BF116" s="3" t="s">
        <v>1274</v>
      </c>
      <c r="BH116" s="3" t="s">
        <v>1275</v>
      </c>
      <c r="BI116" s="3"/>
      <c r="BJ116" s="3"/>
      <c r="BK116" s="3"/>
      <c r="BL116" s="3"/>
      <c r="BM116" s="3"/>
      <c r="BN116" s="3"/>
      <c r="BO116" s="3"/>
      <c r="BP116" s="6"/>
      <c r="BQ116" s="3"/>
      <c r="BR116" s="3"/>
      <c r="BS116" s="3"/>
      <c r="BT116" s="3"/>
    </row>
    <row r="117" spans="1:72" ht="173.25" customHeight="1" x14ac:dyDescent="0.25">
      <c r="A117" s="3">
        <v>116</v>
      </c>
      <c r="B117" s="4" t="s">
        <v>1075</v>
      </c>
      <c r="C117" s="4" t="s">
        <v>1076</v>
      </c>
      <c r="D117" s="15" t="s">
        <v>1276</v>
      </c>
      <c r="E117" s="4" t="s">
        <v>1277</v>
      </c>
      <c r="F117" s="4" t="s">
        <v>1277</v>
      </c>
      <c r="G117" s="4" t="s">
        <v>1278</v>
      </c>
      <c r="H117" s="4" t="s">
        <v>1279</v>
      </c>
      <c r="I117" s="4" t="s">
        <v>1280</v>
      </c>
      <c r="J117" s="4" t="s">
        <v>1281</v>
      </c>
      <c r="K117" s="4"/>
      <c r="L117" s="4" t="s">
        <v>1282</v>
      </c>
      <c r="M117" s="4" t="s">
        <v>1283</v>
      </c>
      <c r="S117" s="15" t="s">
        <v>139</v>
      </c>
      <c r="T117" s="15" t="s">
        <v>84</v>
      </c>
      <c r="U117" s="4" t="s">
        <v>1284</v>
      </c>
      <c r="V117" s="14"/>
      <c r="W117" s="15">
        <v>133</v>
      </c>
      <c r="X117" s="4" t="s">
        <v>219</v>
      </c>
      <c r="Y117" s="4">
        <v>22</v>
      </c>
      <c r="Z117" s="6">
        <v>22</v>
      </c>
      <c r="AA117" s="3"/>
      <c r="AB117" s="7"/>
      <c r="AC117" s="7"/>
      <c r="AD117" s="6"/>
      <c r="AE117" s="6"/>
      <c r="AF117" s="6">
        <f>Y117/Z117</f>
        <v>1</v>
      </c>
      <c r="AG117" s="3" t="s">
        <v>1285</v>
      </c>
      <c r="AH117" s="3" t="s">
        <v>1286</v>
      </c>
      <c r="AI117" s="3"/>
      <c r="AJ117" s="3"/>
      <c r="AK117" s="3"/>
      <c r="AL117" s="3"/>
      <c r="AM117" s="3"/>
      <c r="AN117" s="3"/>
      <c r="AO117" s="3"/>
      <c r="AP117" s="3"/>
      <c r="AQ117" s="3"/>
      <c r="AR117" s="3"/>
      <c r="AS117" s="3"/>
      <c r="AT117" s="3"/>
      <c r="AU117" s="3"/>
      <c r="AV117" s="3"/>
      <c r="AW117" s="3"/>
      <c r="AX117" s="3"/>
      <c r="AY117" s="3"/>
      <c r="AZ117" s="3"/>
      <c r="BA117" s="3"/>
      <c r="BB117" s="3"/>
      <c r="BC117" s="3"/>
      <c r="BD117" s="9"/>
      <c r="BE117" s="3"/>
      <c r="BF117" s="3"/>
      <c r="BG117" s="3"/>
      <c r="BH117" s="3"/>
      <c r="BI117" s="3"/>
      <c r="BJ117" s="3"/>
      <c r="BK117" s="3"/>
      <c r="BL117" s="3"/>
      <c r="BM117" s="3"/>
      <c r="BN117" s="3"/>
      <c r="BO117" s="3"/>
      <c r="BP117" s="6"/>
      <c r="BQ117" s="3"/>
      <c r="BR117" s="3"/>
      <c r="BS117" s="3"/>
      <c r="BT117" s="3"/>
    </row>
    <row r="118" spans="1:72" ht="22.5" customHeight="1" x14ac:dyDescent="0.25">
      <c r="A118" s="3">
        <v>117</v>
      </c>
      <c r="B118" s="4" t="s">
        <v>1075</v>
      </c>
      <c r="D118" s="15" t="s">
        <v>1276</v>
      </c>
      <c r="E118" s="4" t="s">
        <v>1287</v>
      </c>
      <c r="F118" s="4"/>
      <c r="G118" s="4" t="s">
        <v>1288</v>
      </c>
      <c r="H118" s="4" t="s">
        <v>1289</v>
      </c>
      <c r="I118" s="4" t="s">
        <v>1290</v>
      </c>
      <c r="K118" s="4"/>
      <c r="L118" s="4" t="s">
        <v>1291</v>
      </c>
      <c r="M118" s="4" t="s">
        <v>1292</v>
      </c>
      <c r="S118" s="15" t="s">
        <v>139</v>
      </c>
      <c r="T118" s="15" t="s">
        <v>84</v>
      </c>
      <c r="V118" s="14"/>
      <c r="W118" s="15"/>
      <c r="X118" s="4" t="s">
        <v>140</v>
      </c>
      <c r="Y118" s="4"/>
      <c r="Z118" s="6"/>
      <c r="AA118" s="3"/>
      <c r="AB118" s="7"/>
      <c r="AC118" s="7"/>
      <c r="AD118" s="6"/>
      <c r="AE118" s="6"/>
      <c r="AF118" s="6"/>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9"/>
      <c r="BE118" s="3"/>
      <c r="BF118" s="3"/>
      <c r="BG118" s="3"/>
      <c r="BH118" s="3"/>
      <c r="BI118" s="3"/>
      <c r="BJ118" s="3"/>
      <c r="BK118" s="3"/>
      <c r="BL118" s="3"/>
      <c r="BM118" s="3"/>
      <c r="BN118" s="3"/>
      <c r="BO118" s="3"/>
      <c r="BP118" s="6"/>
      <c r="BQ118" s="3"/>
      <c r="BR118" s="3"/>
      <c r="BS118" s="3"/>
      <c r="BT118" s="3"/>
    </row>
    <row r="119" spans="1:72" ht="22.5" customHeight="1" x14ac:dyDescent="0.25">
      <c r="A119" s="3">
        <v>118</v>
      </c>
      <c r="B119" s="4" t="s">
        <v>1075</v>
      </c>
      <c r="D119" s="15" t="s">
        <v>1276</v>
      </c>
      <c r="E119" s="4" t="s">
        <v>1287</v>
      </c>
      <c r="F119" s="4"/>
      <c r="G119" s="4" t="s">
        <v>1293</v>
      </c>
      <c r="H119" s="4" t="s">
        <v>1294</v>
      </c>
      <c r="I119" s="4" t="s">
        <v>1295</v>
      </c>
      <c r="K119" s="4"/>
      <c r="L119" s="4" t="s">
        <v>1296</v>
      </c>
      <c r="M119" s="4" t="s">
        <v>1297</v>
      </c>
      <c r="S119" s="15" t="s">
        <v>139</v>
      </c>
      <c r="T119" s="15" t="s">
        <v>84</v>
      </c>
      <c r="V119" s="14"/>
      <c r="W119" s="15"/>
      <c r="X119" s="4" t="s">
        <v>140</v>
      </c>
      <c r="Y119" s="4"/>
      <c r="Z119" s="6"/>
      <c r="AA119" s="3"/>
      <c r="AB119" s="7"/>
      <c r="AC119" s="7"/>
      <c r="AD119" s="6"/>
      <c r="AE119" s="6"/>
      <c r="AF119" s="6"/>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9"/>
      <c r="BE119" s="3"/>
      <c r="BF119" s="3"/>
      <c r="BG119" s="3"/>
      <c r="BH119" s="3"/>
      <c r="BI119" s="3"/>
      <c r="BJ119" s="3"/>
      <c r="BK119" s="3"/>
      <c r="BL119" s="3"/>
      <c r="BM119" s="3"/>
      <c r="BN119" s="3"/>
      <c r="BO119" s="3"/>
      <c r="BP119" s="6"/>
      <c r="BQ119" s="3"/>
      <c r="BR119" s="3"/>
      <c r="BS119" s="3"/>
      <c r="BT119" s="3"/>
    </row>
    <row r="120" spans="1:72" ht="22.5" customHeight="1" x14ac:dyDescent="0.25">
      <c r="A120" s="3">
        <v>119</v>
      </c>
      <c r="B120" s="4" t="s">
        <v>1075</v>
      </c>
      <c r="D120" s="15" t="s">
        <v>1276</v>
      </c>
      <c r="E120" s="4" t="s">
        <v>1287</v>
      </c>
      <c r="F120" s="4"/>
      <c r="G120" s="4" t="s">
        <v>1298</v>
      </c>
      <c r="H120" s="4" t="s">
        <v>1299</v>
      </c>
      <c r="I120" s="4" t="s">
        <v>1300</v>
      </c>
      <c r="K120" s="4" t="s">
        <v>1301</v>
      </c>
      <c r="L120" s="4" t="s">
        <v>1302</v>
      </c>
      <c r="M120" s="4" t="s">
        <v>1303</v>
      </c>
      <c r="S120" s="15" t="s">
        <v>693</v>
      </c>
      <c r="T120" s="15" t="s">
        <v>1304</v>
      </c>
      <c r="V120" s="14"/>
      <c r="W120" s="15"/>
      <c r="X120" s="4" t="s">
        <v>140</v>
      </c>
      <c r="Y120" s="4"/>
      <c r="Z120" s="6"/>
      <c r="AA120" s="3"/>
      <c r="AB120" s="7"/>
      <c r="AC120" s="7"/>
      <c r="AD120" s="6"/>
      <c r="AE120" s="6"/>
      <c r="AF120" s="6"/>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9"/>
      <c r="BE120" s="3"/>
      <c r="BF120" s="3"/>
      <c r="BG120" s="3"/>
      <c r="BH120" s="3"/>
      <c r="BI120" s="3"/>
      <c r="BJ120" s="3"/>
      <c r="BK120" s="3"/>
      <c r="BL120" s="3"/>
      <c r="BM120" s="3"/>
      <c r="BN120" s="3"/>
      <c r="BO120" s="3"/>
      <c r="BP120" s="6"/>
      <c r="BQ120" s="3"/>
      <c r="BR120" s="3"/>
      <c r="BS120" s="3"/>
      <c r="BT120" s="3"/>
    </row>
    <row r="121" spans="1:72" ht="106.5" customHeight="1" x14ac:dyDescent="0.25">
      <c r="A121" s="3">
        <v>120</v>
      </c>
      <c r="B121" s="4" t="s">
        <v>1075</v>
      </c>
      <c r="C121" s="4" t="s">
        <v>1076</v>
      </c>
      <c r="D121" s="4" t="s">
        <v>1305</v>
      </c>
      <c r="E121" s="4" t="s">
        <v>1027</v>
      </c>
      <c r="F121" s="4"/>
      <c r="G121" s="4" t="s">
        <v>1306</v>
      </c>
      <c r="H121" s="4" t="s">
        <v>1307</v>
      </c>
      <c r="I121" s="4" t="s">
        <v>1308</v>
      </c>
      <c r="J121" s="4" t="s">
        <v>1309</v>
      </c>
      <c r="K121" s="4"/>
      <c r="L121" s="4" t="s">
        <v>1310</v>
      </c>
      <c r="M121" s="4" t="s">
        <v>1311</v>
      </c>
      <c r="S121" s="15" t="s">
        <v>406</v>
      </c>
      <c r="T121" s="15" t="s">
        <v>84</v>
      </c>
      <c r="V121" s="14"/>
      <c r="W121" s="15"/>
      <c r="X121" s="4" t="s">
        <v>86</v>
      </c>
      <c r="Y121" s="4">
        <v>12</v>
      </c>
      <c r="Z121" s="6">
        <v>10</v>
      </c>
      <c r="AA121" s="3"/>
      <c r="AB121" s="7"/>
      <c r="AC121" s="7"/>
      <c r="AD121" s="6"/>
      <c r="AE121" s="6"/>
      <c r="AF121" s="6">
        <f t="shared" ref="AF121:AF123" si="34">Y121/Z121</f>
        <v>1.2</v>
      </c>
      <c r="AG121" s="3" t="s">
        <v>316</v>
      </c>
      <c r="AH121" s="3" t="s">
        <v>316</v>
      </c>
      <c r="AI121" s="3" t="s">
        <v>316</v>
      </c>
      <c r="AJ121" s="3"/>
      <c r="AK121" s="3">
        <v>24</v>
      </c>
      <c r="AL121" s="3">
        <v>28</v>
      </c>
      <c r="AM121" s="3"/>
      <c r="AN121" s="3"/>
      <c r="AO121" s="3"/>
      <c r="AP121" s="3"/>
      <c r="AQ121" s="3"/>
      <c r="AR121" s="6">
        <f t="shared" ref="AR121:AR123" si="35">AK121/AL121</f>
        <v>0.8571428571428571</v>
      </c>
      <c r="AS121" s="3" t="s">
        <v>1312</v>
      </c>
      <c r="AT121" s="3" t="s">
        <v>1313</v>
      </c>
      <c r="AU121" s="3" t="s">
        <v>1314</v>
      </c>
      <c r="AV121" s="3"/>
      <c r="AW121" s="3">
        <v>52</v>
      </c>
      <c r="AX121" s="3">
        <v>67</v>
      </c>
      <c r="AY121" s="3"/>
      <c r="AZ121" s="3"/>
      <c r="BA121" s="3"/>
      <c r="BB121" s="3"/>
      <c r="BC121" s="3"/>
      <c r="BD121" s="9">
        <f t="shared" ref="BD121:BD123" si="36">AW121/AX121</f>
        <v>0.77611940298507465</v>
      </c>
      <c r="BE121" s="3" t="s">
        <v>1315</v>
      </c>
      <c r="BF121" s="3" t="s">
        <v>1316</v>
      </c>
      <c r="BG121" s="3" t="s">
        <v>1317</v>
      </c>
      <c r="BH121" s="3"/>
      <c r="BI121" s="3"/>
      <c r="BJ121" s="3"/>
      <c r="BK121" s="3"/>
      <c r="BL121" s="3"/>
      <c r="BM121" s="3"/>
      <c r="BN121" s="3"/>
      <c r="BO121" s="3"/>
      <c r="BP121" s="6"/>
      <c r="BQ121" s="3"/>
      <c r="BR121" s="3"/>
      <c r="BS121" s="3"/>
      <c r="BT121" s="3"/>
    </row>
    <row r="122" spans="1:72" ht="90" customHeight="1" x14ac:dyDescent="0.25">
      <c r="A122" s="3">
        <v>121</v>
      </c>
      <c r="B122" s="4" t="s">
        <v>1075</v>
      </c>
      <c r="C122" s="4" t="s">
        <v>1076</v>
      </c>
      <c r="D122" s="4" t="s">
        <v>1318</v>
      </c>
      <c r="E122" s="4" t="s">
        <v>1027</v>
      </c>
      <c r="F122" s="4"/>
      <c r="G122" s="4" t="s">
        <v>1319</v>
      </c>
      <c r="H122" s="4" t="s">
        <v>1320</v>
      </c>
      <c r="I122" s="4" t="s">
        <v>1321</v>
      </c>
      <c r="J122" s="4" t="s">
        <v>1322</v>
      </c>
      <c r="K122" s="4" t="s">
        <v>1323</v>
      </c>
      <c r="L122" s="4" t="s">
        <v>1324</v>
      </c>
      <c r="M122" s="4" t="s">
        <v>1325</v>
      </c>
      <c r="N122" s="4"/>
      <c r="O122" s="4"/>
      <c r="P122" s="4"/>
      <c r="Q122" s="4"/>
      <c r="R122" s="4"/>
      <c r="S122" s="4" t="s">
        <v>406</v>
      </c>
      <c r="T122" s="4" t="s">
        <v>84</v>
      </c>
      <c r="U122" s="4"/>
      <c r="V122" s="5"/>
      <c r="W122" s="4"/>
      <c r="X122" s="4" t="s">
        <v>219</v>
      </c>
      <c r="Y122" s="4">
        <v>103</v>
      </c>
      <c r="Z122" s="6">
        <v>103</v>
      </c>
      <c r="AA122" s="3"/>
      <c r="AB122" s="7"/>
      <c r="AC122" s="7"/>
      <c r="AD122" s="6"/>
      <c r="AE122" s="6"/>
      <c r="AF122" s="6">
        <f t="shared" si="34"/>
        <v>1</v>
      </c>
      <c r="AG122" s="3" t="s">
        <v>316</v>
      </c>
      <c r="AH122" s="3" t="s">
        <v>316</v>
      </c>
      <c r="AI122" s="3" t="s">
        <v>316</v>
      </c>
      <c r="AJ122" s="3"/>
      <c r="AK122" s="3">
        <v>1146</v>
      </c>
      <c r="AL122" s="3">
        <v>1146</v>
      </c>
      <c r="AM122" s="3"/>
      <c r="AN122" s="3"/>
      <c r="AO122" s="3"/>
      <c r="AP122" s="3"/>
      <c r="AQ122" s="3"/>
      <c r="AR122" s="6">
        <f t="shared" si="35"/>
        <v>1</v>
      </c>
      <c r="AS122" s="3" t="s">
        <v>1326</v>
      </c>
      <c r="AT122" s="3" t="s">
        <v>1327</v>
      </c>
      <c r="AU122" s="3" t="s">
        <v>1328</v>
      </c>
      <c r="AV122" s="3"/>
      <c r="AW122" s="3">
        <v>491</v>
      </c>
      <c r="AX122" s="3">
        <v>491</v>
      </c>
      <c r="AY122" s="3"/>
      <c r="AZ122" s="3"/>
      <c r="BA122" s="3"/>
      <c r="BB122" s="3"/>
      <c r="BC122" s="3"/>
      <c r="BD122" s="9">
        <f t="shared" si="36"/>
        <v>1</v>
      </c>
      <c r="BE122" s="3" t="s">
        <v>1329</v>
      </c>
      <c r="BF122" s="3" t="s">
        <v>1330</v>
      </c>
      <c r="BG122" s="3"/>
      <c r="BH122" s="3"/>
      <c r="BI122" s="3"/>
      <c r="BJ122" s="3"/>
      <c r="BK122" s="3"/>
      <c r="BL122" s="3"/>
      <c r="BM122" s="3"/>
      <c r="BN122" s="3"/>
      <c r="BO122" s="3"/>
      <c r="BP122" s="6"/>
      <c r="BQ122" s="3"/>
      <c r="BR122" s="3"/>
      <c r="BS122" s="3"/>
      <c r="BT122" s="3"/>
    </row>
    <row r="123" spans="1:72" ht="117" customHeight="1" x14ac:dyDescent="0.25">
      <c r="A123" s="3">
        <v>122</v>
      </c>
      <c r="B123" s="4" t="s">
        <v>1075</v>
      </c>
      <c r="C123" s="4" t="s">
        <v>1076</v>
      </c>
      <c r="D123" s="4" t="s">
        <v>1318</v>
      </c>
      <c r="E123" s="4" t="s">
        <v>1027</v>
      </c>
      <c r="F123" s="4"/>
      <c r="G123" s="4" t="s">
        <v>1331</v>
      </c>
      <c r="H123" s="4" t="s">
        <v>1332</v>
      </c>
      <c r="I123" s="4" t="s">
        <v>1333</v>
      </c>
      <c r="J123" s="4" t="s">
        <v>1322</v>
      </c>
      <c r="K123" s="4" t="s">
        <v>1323</v>
      </c>
      <c r="L123" s="4" t="s">
        <v>1334</v>
      </c>
      <c r="M123" s="4" t="s">
        <v>1335</v>
      </c>
      <c r="S123" s="15" t="s">
        <v>406</v>
      </c>
      <c r="T123" s="15" t="s">
        <v>84</v>
      </c>
      <c r="V123" s="14"/>
      <c r="W123" s="15"/>
      <c r="X123" s="4" t="s">
        <v>219</v>
      </c>
      <c r="Y123" s="4">
        <v>582</v>
      </c>
      <c r="Z123" s="6">
        <v>582</v>
      </c>
      <c r="AA123" s="3"/>
      <c r="AB123" s="7"/>
      <c r="AC123" s="7"/>
      <c r="AD123" s="6"/>
      <c r="AE123" s="6"/>
      <c r="AF123" s="6">
        <f t="shared" si="34"/>
        <v>1</v>
      </c>
      <c r="AG123" s="3" t="s">
        <v>316</v>
      </c>
      <c r="AH123" s="3" t="s">
        <v>316</v>
      </c>
      <c r="AI123" s="3" t="s">
        <v>316</v>
      </c>
      <c r="AJ123" s="3"/>
      <c r="AK123" s="3">
        <v>222</v>
      </c>
      <c r="AL123" s="3">
        <v>222</v>
      </c>
      <c r="AM123" s="3"/>
      <c r="AN123" s="3"/>
      <c r="AO123" s="3"/>
      <c r="AP123" s="3"/>
      <c r="AQ123" s="3"/>
      <c r="AR123" s="6">
        <f t="shared" si="35"/>
        <v>1</v>
      </c>
      <c r="AS123" s="3" t="s">
        <v>1336</v>
      </c>
      <c r="AT123" s="3" t="s">
        <v>1337</v>
      </c>
      <c r="AU123" s="3" t="s">
        <v>1328</v>
      </c>
      <c r="AV123" s="3"/>
      <c r="AW123" s="3">
        <v>629</v>
      </c>
      <c r="AX123" s="3">
        <v>629</v>
      </c>
      <c r="AY123" s="3"/>
      <c r="AZ123" s="3"/>
      <c r="BA123" s="3"/>
      <c r="BB123" s="3"/>
      <c r="BC123" s="3"/>
      <c r="BD123" s="9">
        <f t="shared" si="36"/>
        <v>1</v>
      </c>
      <c r="BE123" s="3" t="s">
        <v>1338</v>
      </c>
      <c r="BF123" s="3" t="s">
        <v>1339</v>
      </c>
      <c r="BG123" s="3"/>
      <c r="BH123" s="3"/>
      <c r="BI123" s="3"/>
      <c r="BJ123" s="3"/>
      <c r="BK123" s="3"/>
      <c r="BL123" s="3"/>
      <c r="BM123" s="3"/>
      <c r="BN123" s="3"/>
      <c r="BO123" s="3"/>
      <c r="BP123" s="6"/>
      <c r="BQ123" s="3"/>
      <c r="BR123" s="3"/>
      <c r="BS123" s="3"/>
      <c r="BT123" s="3"/>
    </row>
    <row r="124" spans="1:72" ht="119.25" customHeight="1" x14ac:dyDescent="0.25">
      <c r="A124" s="3">
        <v>123</v>
      </c>
      <c r="B124" s="4" t="s">
        <v>1075</v>
      </c>
      <c r="C124" s="4" t="s">
        <v>1076</v>
      </c>
      <c r="D124" s="4" t="s">
        <v>1318</v>
      </c>
      <c r="E124" s="4" t="s">
        <v>1027</v>
      </c>
      <c r="F124" s="4"/>
      <c r="G124" s="4" t="s">
        <v>1340</v>
      </c>
      <c r="H124" s="4" t="s">
        <v>1341</v>
      </c>
      <c r="I124" s="4" t="s">
        <v>1342</v>
      </c>
      <c r="J124" s="4" t="s">
        <v>1343</v>
      </c>
      <c r="K124" s="4" t="s">
        <v>1344</v>
      </c>
      <c r="L124" s="4" t="s">
        <v>1345</v>
      </c>
      <c r="M124" s="4" t="s">
        <v>1346</v>
      </c>
      <c r="N124" s="4"/>
      <c r="O124" s="4"/>
      <c r="P124" s="4"/>
      <c r="Q124" s="4"/>
      <c r="R124" s="4"/>
      <c r="S124" s="4" t="s">
        <v>139</v>
      </c>
      <c r="T124" s="4" t="s">
        <v>1304</v>
      </c>
      <c r="U124" s="4"/>
      <c r="V124" s="5"/>
      <c r="W124" s="4"/>
      <c r="X124" s="4" t="s">
        <v>86</v>
      </c>
      <c r="Y124" s="4"/>
      <c r="Z124" s="6"/>
      <c r="AA124" s="3"/>
      <c r="AB124" s="7"/>
      <c r="AC124" s="7"/>
      <c r="AD124" s="6"/>
      <c r="AE124" s="6"/>
      <c r="AF124" s="6"/>
      <c r="AG124" s="3" t="s">
        <v>1347</v>
      </c>
      <c r="AH124" s="3" t="s">
        <v>1347</v>
      </c>
      <c r="AI124" s="3" t="s">
        <v>1347</v>
      </c>
      <c r="AJ124" s="3" t="s">
        <v>1348</v>
      </c>
      <c r="AK124" s="3">
        <v>4.7E-2</v>
      </c>
      <c r="AL124" s="3"/>
      <c r="AM124" s="3"/>
      <c r="AN124" s="3"/>
      <c r="AO124" s="3"/>
      <c r="AP124" s="3"/>
      <c r="AQ124" s="3"/>
      <c r="AR124" s="3">
        <f>AK124</f>
        <v>4.7E-2</v>
      </c>
      <c r="AS124" s="3" t="s">
        <v>1349</v>
      </c>
      <c r="AT124" s="3" t="s">
        <v>1350</v>
      </c>
      <c r="AU124" s="3" t="s">
        <v>1328</v>
      </c>
      <c r="AV124" s="3" t="s">
        <v>1351</v>
      </c>
      <c r="AW124" s="3">
        <v>4.72</v>
      </c>
      <c r="AX124" s="3"/>
      <c r="AY124" s="3"/>
      <c r="AZ124" s="3"/>
      <c r="BA124" s="3"/>
      <c r="BB124" s="3"/>
      <c r="BC124" s="3"/>
      <c r="BD124" s="4" t="s">
        <v>1352</v>
      </c>
      <c r="BE124" s="3" t="s">
        <v>1353</v>
      </c>
      <c r="BF124" s="3" t="s">
        <v>1354</v>
      </c>
      <c r="BG124" s="3"/>
      <c r="BH124" s="3" t="s">
        <v>1355</v>
      </c>
      <c r="BI124" s="3"/>
      <c r="BJ124" s="3"/>
      <c r="BK124" s="3"/>
      <c r="BL124" s="3"/>
      <c r="BM124" s="3"/>
      <c r="BN124" s="3"/>
      <c r="BO124" s="3"/>
      <c r="BP124" s="6"/>
      <c r="BQ124" s="3"/>
      <c r="BR124" s="3"/>
      <c r="BS124" s="3"/>
      <c r="BT124" s="3"/>
    </row>
    <row r="125" spans="1:72" ht="22.5" customHeight="1" x14ac:dyDescent="0.25">
      <c r="A125" s="3">
        <v>124</v>
      </c>
      <c r="B125" s="4" t="s">
        <v>1075</v>
      </c>
      <c r="D125" s="15" t="s">
        <v>438</v>
      </c>
      <c r="E125" s="4" t="s">
        <v>1356</v>
      </c>
      <c r="F125" s="4"/>
      <c r="G125" s="4" t="s">
        <v>1357</v>
      </c>
      <c r="H125" s="4" t="s">
        <v>1358</v>
      </c>
      <c r="I125" s="4" t="s">
        <v>1359</v>
      </c>
      <c r="K125" s="4"/>
      <c r="L125" s="4" t="s">
        <v>1360</v>
      </c>
      <c r="M125" s="4" t="s">
        <v>1361</v>
      </c>
      <c r="S125" s="15" t="s">
        <v>406</v>
      </c>
      <c r="T125" s="15" t="s">
        <v>84</v>
      </c>
      <c r="V125" s="14"/>
      <c r="W125" s="15"/>
      <c r="X125" s="4" t="s">
        <v>140</v>
      </c>
      <c r="Y125" s="4"/>
      <c r="Z125" s="6"/>
      <c r="AA125" s="3"/>
      <c r="AB125" s="7"/>
      <c r="AC125" s="7"/>
      <c r="AD125" s="6"/>
      <c r="AE125" s="6"/>
      <c r="AF125" s="6"/>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9"/>
      <c r="BE125" s="3"/>
      <c r="BF125" s="3"/>
      <c r="BG125" s="3"/>
      <c r="BH125" s="3"/>
      <c r="BI125" s="3"/>
      <c r="BJ125" s="3"/>
      <c r="BK125" s="3"/>
      <c r="BL125" s="3"/>
      <c r="BM125" s="3"/>
      <c r="BN125" s="3"/>
      <c r="BO125" s="3"/>
      <c r="BP125" s="6"/>
      <c r="BQ125" s="3"/>
      <c r="BR125" s="3"/>
      <c r="BS125" s="3"/>
      <c r="BT125" s="3"/>
    </row>
    <row r="126" spans="1:72" ht="76.5" customHeight="1" x14ac:dyDescent="0.25">
      <c r="A126" s="3">
        <v>125</v>
      </c>
      <c r="B126" s="4" t="s">
        <v>1075</v>
      </c>
      <c r="C126" s="4" t="s">
        <v>1076</v>
      </c>
      <c r="D126" s="4" t="s">
        <v>1362</v>
      </c>
      <c r="E126" s="4" t="s">
        <v>1027</v>
      </c>
      <c r="F126" s="4"/>
      <c r="G126" s="4" t="s">
        <v>1363</v>
      </c>
      <c r="H126" s="4" t="s">
        <v>1364</v>
      </c>
      <c r="I126" s="4" t="s">
        <v>1365</v>
      </c>
      <c r="J126" s="4" t="s">
        <v>1366</v>
      </c>
      <c r="K126" s="4" t="s">
        <v>1367</v>
      </c>
      <c r="L126" s="4" t="s">
        <v>1368</v>
      </c>
      <c r="M126" s="4"/>
      <c r="S126" s="15" t="s">
        <v>83</v>
      </c>
      <c r="T126" s="15" t="s">
        <v>105</v>
      </c>
      <c r="U126" s="4" t="s">
        <v>1369</v>
      </c>
      <c r="V126" s="14"/>
      <c r="W126" s="15"/>
      <c r="X126" s="4" t="s">
        <v>219</v>
      </c>
      <c r="Y126" s="4">
        <v>142</v>
      </c>
      <c r="Z126" s="6"/>
      <c r="AA126" s="3"/>
      <c r="AB126" s="7"/>
      <c r="AC126" s="7"/>
      <c r="AD126" s="6"/>
      <c r="AE126" s="6"/>
      <c r="AF126" s="6">
        <f>Y126</f>
        <v>142</v>
      </c>
      <c r="AG126" s="3" t="s">
        <v>130</v>
      </c>
      <c r="AH126" s="3" t="s">
        <v>130</v>
      </c>
      <c r="AI126" s="3" t="s">
        <v>130</v>
      </c>
      <c r="AJ126" s="3"/>
      <c r="AK126" s="3">
        <v>121</v>
      </c>
      <c r="AL126" s="3"/>
      <c r="AM126" s="3"/>
      <c r="AN126" s="3"/>
      <c r="AO126" s="3"/>
      <c r="AP126" s="3"/>
      <c r="AQ126" s="3"/>
      <c r="AR126" s="3">
        <f>AK126</f>
        <v>121</v>
      </c>
      <c r="AS126" s="3" t="s">
        <v>1370</v>
      </c>
      <c r="AT126" s="3" t="s">
        <v>1371</v>
      </c>
      <c r="AU126" s="3"/>
      <c r="AV126" s="3"/>
      <c r="AW126" s="3">
        <v>125</v>
      </c>
      <c r="AX126" s="3"/>
      <c r="AY126" s="3"/>
      <c r="AZ126" s="3"/>
      <c r="BA126" s="3"/>
      <c r="BB126" s="3"/>
      <c r="BC126" s="3"/>
      <c r="BD126" s="9">
        <f>AW126</f>
        <v>125</v>
      </c>
      <c r="BE126" s="3" t="s">
        <v>1372</v>
      </c>
      <c r="BF126" s="3" t="s">
        <v>1373</v>
      </c>
      <c r="BG126" s="3"/>
      <c r="BH126" s="3"/>
      <c r="BI126" s="3"/>
      <c r="BJ126" s="3"/>
      <c r="BK126" s="3"/>
      <c r="BL126" s="3"/>
      <c r="BM126" s="3"/>
      <c r="BN126" s="3"/>
      <c r="BO126" s="3"/>
      <c r="BP126" s="6"/>
      <c r="BQ126" s="3"/>
      <c r="BR126" s="3"/>
      <c r="BS126" s="3"/>
      <c r="BT126" s="3"/>
    </row>
    <row r="127" spans="1:72" ht="22.5" customHeight="1" x14ac:dyDescent="0.25">
      <c r="A127" s="3">
        <v>126</v>
      </c>
      <c r="B127" s="4" t="s">
        <v>1075</v>
      </c>
      <c r="D127" s="15" t="s">
        <v>1362</v>
      </c>
      <c r="E127" s="4" t="s">
        <v>1356</v>
      </c>
      <c r="F127" s="4"/>
      <c r="G127" s="4" t="s">
        <v>1374</v>
      </c>
      <c r="H127" s="4" t="s">
        <v>1375</v>
      </c>
      <c r="I127" s="4" t="s">
        <v>1376</v>
      </c>
      <c r="K127" s="4"/>
      <c r="L127" s="4"/>
      <c r="M127" s="4"/>
      <c r="S127" s="15"/>
      <c r="T127" s="15"/>
      <c r="V127" s="14"/>
      <c r="W127" s="15"/>
      <c r="X127" s="4" t="s">
        <v>140</v>
      </c>
      <c r="Y127" s="4"/>
      <c r="Z127" s="6"/>
      <c r="AA127" s="3"/>
      <c r="AB127" s="7"/>
      <c r="AC127" s="7"/>
      <c r="AD127" s="6"/>
      <c r="AE127" s="6"/>
      <c r="AF127" s="6"/>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9"/>
      <c r="BE127" s="3"/>
      <c r="BF127" s="3"/>
      <c r="BG127" s="3"/>
      <c r="BH127" s="3"/>
      <c r="BI127" s="3"/>
      <c r="BJ127" s="3"/>
      <c r="BK127" s="3"/>
      <c r="BL127" s="3"/>
      <c r="BM127" s="3"/>
      <c r="BN127" s="3"/>
      <c r="BO127" s="3"/>
      <c r="BP127" s="6"/>
      <c r="BQ127" s="3"/>
      <c r="BR127" s="3"/>
      <c r="BS127" s="3"/>
      <c r="BT127" s="3"/>
    </row>
    <row r="128" spans="1:72" ht="22.5" customHeight="1" x14ac:dyDescent="0.25">
      <c r="A128" s="3">
        <v>127</v>
      </c>
      <c r="B128" s="4" t="s">
        <v>1075</v>
      </c>
      <c r="D128" s="15" t="s">
        <v>1377</v>
      </c>
      <c r="E128" s="4" t="s">
        <v>1356</v>
      </c>
      <c r="F128" s="4"/>
      <c r="G128" s="4" t="s">
        <v>1378</v>
      </c>
      <c r="H128" s="4" t="s">
        <v>1379</v>
      </c>
      <c r="I128" s="4" t="s">
        <v>1380</v>
      </c>
      <c r="J128" s="15" t="s">
        <v>1381</v>
      </c>
      <c r="K128" s="4" t="s">
        <v>215</v>
      </c>
      <c r="L128" s="4" t="s">
        <v>1382</v>
      </c>
      <c r="M128" s="4" t="s">
        <v>1383</v>
      </c>
      <c r="S128" s="15" t="s">
        <v>534</v>
      </c>
      <c r="T128" s="15" t="s">
        <v>84</v>
      </c>
      <c r="V128" s="14"/>
      <c r="W128" s="15"/>
      <c r="X128" s="4" t="s">
        <v>219</v>
      </c>
      <c r="Y128" s="4"/>
      <c r="Z128" s="6"/>
      <c r="AA128" s="3"/>
      <c r="AB128" s="7"/>
      <c r="AC128" s="7"/>
      <c r="AD128" s="6"/>
      <c r="AE128" s="6"/>
      <c r="AF128" s="6"/>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9"/>
      <c r="BE128" s="3"/>
      <c r="BF128" s="3"/>
      <c r="BG128" s="3"/>
      <c r="BH128" s="3"/>
      <c r="BI128" s="3"/>
      <c r="BJ128" s="3"/>
      <c r="BK128" s="3"/>
      <c r="BL128" s="3"/>
      <c r="BM128" s="3"/>
      <c r="BN128" s="3"/>
      <c r="BO128" s="3"/>
      <c r="BP128" s="6"/>
      <c r="BQ128" s="3"/>
      <c r="BR128" s="3"/>
      <c r="BS128" s="3"/>
      <c r="BT128" s="3"/>
    </row>
    <row r="129" spans="1:72" ht="22.5" customHeight="1" x14ac:dyDescent="0.25">
      <c r="A129" s="3">
        <v>128</v>
      </c>
      <c r="B129" s="4" t="s">
        <v>1075</v>
      </c>
      <c r="C129" s="4" t="s">
        <v>1076</v>
      </c>
      <c r="D129" s="4" t="s">
        <v>1318</v>
      </c>
      <c r="E129" s="4" t="s">
        <v>1027</v>
      </c>
      <c r="F129" s="4"/>
      <c r="G129" s="4" t="s">
        <v>1384</v>
      </c>
      <c r="H129" s="4" t="s">
        <v>1385</v>
      </c>
      <c r="I129" s="4" t="s">
        <v>1386</v>
      </c>
      <c r="J129" s="4" t="s">
        <v>1387</v>
      </c>
      <c r="K129" s="4"/>
      <c r="L129" s="4" t="s">
        <v>1388</v>
      </c>
      <c r="M129" s="4" t="s">
        <v>1389</v>
      </c>
      <c r="N129" s="4" t="s">
        <v>1390</v>
      </c>
      <c r="S129" s="15" t="s">
        <v>534</v>
      </c>
      <c r="T129" s="15" t="s">
        <v>84</v>
      </c>
      <c r="V129" s="14"/>
      <c r="W129" s="15"/>
      <c r="X129" s="4" t="s">
        <v>219</v>
      </c>
      <c r="Y129" s="4"/>
      <c r="Z129" s="6"/>
      <c r="AA129" s="3"/>
      <c r="AB129" s="7"/>
      <c r="AC129" s="7"/>
      <c r="AD129" s="6"/>
      <c r="AE129" s="6"/>
      <c r="AF129" s="6"/>
      <c r="AG129" s="3" t="s">
        <v>130</v>
      </c>
      <c r="AH129" s="3" t="s">
        <v>130</v>
      </c>
      <c r="AI129" s="3" t="s">
        <v>1391</v>
      </c>
      <c r="AJ129" s="3" t="s">
        <v>1392</v>
      </c>
      <c r="AK129" s="3"/>
      <c r="AL129" s="3"/>
      <c r="AM129" s="3"/>
      <c r="AN129" s="3"/>
      <c r="AO129" s="3"/>
      <c r="AP129" s="3"/>
      <c r="AQ129" s="3"/>
      <c r="AR129" s="3"/>
      <c r="AS129" s="3" t="s">
        <v>130</v>
      </c>
      <c r="AT129" s="3" t="s">
        <v>130</v>
      </c>
      <c r="AU129" s="3" t="s">
        <v>1391</v>
      </c>
      <c r="AV129" s="3" t="s">
        <v>1392</v>
      </c>
      <c r="AW129" s="3"/>
      <c r="AX129" s="3"/>
      <c r="AY129" s="3"/>
      <c r="AZ129" s="3"/>
      <c r="BA129" s="3"/>
      <c r="BB129" s="3"/>
      <c r="BC129" s="3"/>
      <c r="BD129" s="9"/>
      <c r="BE129" s="3"/>
      <c r="BF129" s="3"/>
      <c r="BG129" s="3"/>
      <c r="BH129" s="3"/>
      <c r="BI129" s="3"/>
      <c r="BJ129" s="3"/>
      <c r="BK129" s="3"/>
      <c r="BL129" s="3"/>
      <c r="BM129" s="3"/>
      <c r="BN129" s="3"/>
      <c r="BO129" s="3"/>
      <c r="BP129" s="6"/>
      <c r="BQ129" s="3"/>
      <c r="BR129" s="3"/>
      <c r="BS129" s="3"/>
      <c r="BT129" s="3"/>
    </row>
    <row r="130" spans="1:72" ht="72" customHeight="1" x14ac:dyDescent="0.25">
      <c r="A130" s="3">
        <v>129</v>
      </c>
      <c r="B130" s="4" t="s">
        <v>1075</v>
      </c>
      <c r="C130" s="4" t="s">
        <v>653</v>
      </c>
      <c r="D130" s="4" t="s">
        <v>1318</v>
      </c>
      <c r="E130" s="4" t="s">
        <v>1027</v>
      </c>
      <c r="F130" s="4"/>
      <c r="G130" s="4" t="s">
        <v>1393</v>
      </c>
      <c r="H130" s="4" t="s">
        <v>1394</v>
      </c>
      <c r="I130" s="4" t="s">
        <v>1395</v>
      </c>
      <c r="J130" s="4" t="s">
        <v>1396</v>
      </c>
      <c r="K130" s="4"/>
      <c r="L130" s="4" t="s">
        <v>1397</v>
      </c>
      <c r="M130" s="4"/>
      <c r="S130" s="15" t="s">
        <v>83</v>
      </c>
      <c r="T130" s="15" t="s">
        <v>105</v>
      </c>
      <c r="U130" s="4" t="s">
        <v>1398</v>
      </c>
      <c r="V130" s="14"/>
      <c r="W130" s="15"/>
      <c r="X130" s="4" t="s">
        <v>86</v>
      </c>
      <c r="Y130" s="4">
        <v>0</v>
      </c>
      <c r="Z130" s="6"/>
      <c r="AA130" s="3"/>
      <c r="AB130" s="7"/>
      <c r="AC130" s="7"/>
      <c r="AD130" s="6"/>
      <c r="AE130" s="6"/>
      <c r="AF130" s="6">
        <v>0</v>
      </c>
      <c r="AG130" s="3" t="s">
        <v>130</v>
      </c>
      <c r="AH130" s="3" t="s">
        <v>130</v>
      </c>
      <c r="AI130" s="3" t="s">
        <v>130</v>
      </c>
      <c r="AJ130" s="3"/>
      <c r="AK130" s="3">
        <v>0</v>
      </c>
      <c r="AL130" s="3"/>
      <c r="AM130" s="3"/>
      <c r="AN130" s="3"/>
      <c r="AO130" s="3"/>
      <c r="AP130" s="3"/>
      <c r="AQ130" s="3"/>
      <c r="AR130" s="3">
        <v>0</v>
      </c>
      <c r="AS130" s="3" t="s">
        <v>1399</v>
      </c>
      <c r="AT130" s="3" t="s">
        <v>1400</v>
      </c>
      <c r="AU130" s="3"/>
      <c r="AV130" s="3"/>
      <c r="AW130" s="3">
        <v>0</v>
      </c>
      <c r="AX130" s="3"/>
      <c r="AY130" s="3"/>
      <c r="AZ130" s="3"/>
      <c r="BA130" s="3"/>
      <c r="BB130" s="3"/>
      <c r="BC130" s="3"/>
      <c r="BD130" s="9" t="s">
        <v>807</v>
      </c>
      <c r="BE130" s="3"/>
      <c r="BF130" s="3"/>
      <c r="BG130" s="3"/>
      <c r="BH130" s="3"/>
      <c r="BI130" s="3"/>
      <c r="BJ130" s="3"/>
      <c r="BK130" s="3"/>
      <c r="BL130" s="3"/>
      <c r="BM130" s="3"/>
      <c r="BN130" s="3"/>
      <c r="BO130" s="3"/>
      <c r="BP130" s="6"/>
      <c r="BQ130" s="3"/>
      <c r="BR130" s="3"/>
      <c r="BS130" s="3"/>
      <c r="BT130" s="3"/>
    </row>
    <row r="131" spans="1:72" ht="78" customHeight="1" x14ac:dyDescent="0.25">
      <c r="A131" s="3">
        <v>130</v>
      </c>
      <c r="B131" s="4" t="s">
        <v>1075</v>
      </c>
      <c r="C131" s="4" t="s">
        <v>1076</v>
      </c>
      <c r="D131" s="4" t="s">
        <v>1318</v>
      </c>
      <c r="E131" s="4" t="s">
        <v>1027</v>
      </c>
      <c r="F131" s="4"/>
      <c r="G131" s="4" t="s">
        <v>1401</v>
      </c>
      <c r="H131" s="4" t="s">
        <v>1402</v>
      </c>
      <c r="I131" s="4" t="s">
        <v>1403</v>
      </c>
      <c r="J131" s="4" t="s">
        <v>1404</v>
      </c>
      <c r="K131" s="4" t="s">
        <v>1405</v>
      </c>
      <c r="L131" s="4" t="s">
        <v>1406</v>
      </c>
      <c r="M131" s="4" t="s">
        <v>1407</v>
      </c>
      <c r="S131" s="15" t="s">
        <v>406</v>
      </c>
      <c r="T131" s="15" t="s">
        <v>84</v>
      </c>
      <c r="V131" s="14"/>
      <c r="W131" s="15"/>
      <c r="X131" s="4" t="s">
        <v>219</v>
      </c>
      <c r="Y131" s="4">
        <v>16</v>
      </c>
      <c r="Z131" s="6">
        <v>16</v>
      </c>
      <c r="AA131" s="3"/>
      <c r="AB131" s="7"/>
      <c r="AC131" s="7"/>
      <c r="AD131" s="6"/>
      <c r="AE131" s="6"/>
      <c r="AF131" s="6">
        <f t="shared" ref="AF131:AF133" si="37">Y131/Z131</f>
        <v>1</v>
      </c>
      <c r="AG131" s="3" t="s">
        <v>130</v>
      </c>
      <c r="AH131" s="3" t="s">
        <v>130</v>
      </c>
      <c r="AI131" s="3" t="s">
        <v>130</v>
      </c>
      <c r="AJ131" s="3" t="s">
        <v>1408</v>
      </c>
      <c r="AK131" s="3">
        <v>37</v>
      </c>
      <c r="AL131" s="3">
        <v>37</v>
      </c>
      <c r="AM131" s="3"/>
      <c r="AN131" s="3"/>
      <c r="AO131" s="3"/>
      <c r="AP131" s="3"/>
      <c r="AQ131" s="3"/>
      <c r="AR131" s="3">
        <f t="shared" ref="AR131:AR133" si="38">AK131/AL131</f>
        <v>1</v>
      </c>
      <c r="AS131" s="3" t="s">
        <v>1409</v>
      </c>
      <c r="AT131" s="3" t="s">
        <v>1410</v>
      </c>
      <c r="AU131" s="3" t="s">
        <v>130</v>
      </c>
      <c r="AV131" s="3"/>
      <c r="AW131" s="3">
        <v>53</v>
      </c>
      <c r="AX131" s="3">
        <v>53</v>
      </c>
      <c r="AY131" s="3"/>
      <c r="AZ131" s="3"/>
      <c r="BA131" s="3"/>
      <c r="BB131" s="3"/>
      <c r="BC131" s="3"/>
      <c r="BD131" s="9">
        <f t="shared" ref="BD131:BD132" si="39">AW131/AX131</f>
        <v>1</v>
      </c>
      <c r="BE131" s="3" t="s">
        <v>1411</v>
      </c>
      <c r="BF131" s="3" t="s">
        <v>1412</v>
      </c>
      <c r="BG131" s="3"/>
      <c r="BH131" s="3" t="s">
        <v>1413</v>
      </c>
      <c r="BI131" s="3"/>
      <c r="BJ131" s="3"/>
      <c r="BK131" s="3"/>
      <c r="BL131" s="3"/>
      <c r="BM131" s="3"/>
      <c r="BN131" s="3"/>
      <c r="BO131" s="3"/>
      <c r="BP131" s="6"/>
      <c r="BQ131" s="3"/>
      <c r="BR131" s="3"/>
      <c r="BS131" s="3"/>
      <c r="BT131" s="3"/>
    </row>
    <row r="132" spans="1:72" ht="114.75" customHeight="1" x14ac:dyDescent="0.25">
      <c r="A132" s="3">
        <v>131</v>
      </c>
      <c r="B132" s="4" t="s">
        <v>1075</v>
      </c>
      <c r="C132" s="4" t="s">
        <v>1076</v>
      </c>
      <c r="D132" s="4" t="s">
        <v>1318</v>
      </c>
      <c r="E132" s="4" t="s">
        <v>1027</v>
      </c>
      <c r="F132" s="4"/>
      <c r="G132" s="4" t="s">
        <v>1414</v>
      </c>
      <c r="H132" s="4" t="s">
        <v>1415</v>
      </c>
      <c r="I132" s="4" t="s">
        <v>1416</v>
      </c>
      <c r="J132" s="4" t="s">
        <v>1417</v>
      </c>
      <c r="K132" s="4"/>
      <c r="L132" s="4" t="s">
        <v>1418</v>
      </c>
      <c r="M132" s="4" t="s">
        <v>1419</v>
      </c>
      <c r="S132" s="15" t="s">
        <v>406</v>
      </c>
      <c r="T132" s="15" t="s">
        <v>84</v>
      </c>
      <c r="V132" s="14"/>
      <c r="W132" s="15"/>
      <c r="X132" s="4" t="s">
        <v>219</v>
      </c>
      <c r="Y132" s="4">
        <v>1</v>
      </c>
      <c r="Z132" s="6">
        <v>1</v>
      </c>
      <c r="AA132" s="3"/>
      <c r="AB132" s="7"/>
      <c r="AC132" s="7"/>
      <c r="AD132" s="6"/>
      <c r="AE132" s="6"/>
      <c r="AF132" s="6">
        <f t="shared" si="37"/>
        <v>1</v>
      </c>
      <c r="AG132" s="3" t="s">
        <v>130</v>
      </c>
      <c r="AH132" s="3" t="s">
        <v>130</v>
      </c>
      <c r="AI132" s="3" t="s">
        <v>130</v>
      </c>
      <c r="AJ132" s="3" t="s">
        <v>1420</v>
      </c>
      <c r="AK132" s="3">
        <v>28</v>
      </c>
      <c r="AL132" s="3">
        <v>28</v>
      </c>
      <c r="AM132" s="3"/>
      <c r="AN132" s="3"/>
      <c r="AO132" s="3"/>
      <c r="AP132" s="3"/>
      <c r="AQ132" s="3"/>
      <c r="AR132" s="3">
        <f t="shared" si="38"/>
        <v>1</v>
      </c>
      <c r="AS132" s="3" t="s">
        <v>1421</v>
      </c>
      <c r="AT132" s="3" t="s">
        <v>1422</v>
      </c>
      <c r="AU132" s="3" t="s">
        <v>1423</v>
      </c>
      <c r="AV132" s="3"/>
      <c r="AW132" s="3">
        <v>1</v>
      </c>
      <c r="AX132" s="3">
        <v>1</v>
      </c>
      <c r="AY132" s="3"/>
      <c r="AZ132" s="3"/>
      <c r="BA132" s="3"/>
      <c r="BB132" s="3"/>
      <c r="BC132" s="3"/>
      <c r="BD132" s="9">
        <f t="shared" si="39"/>
        <v>1</v>
      </c>
      <c r="BE132" s="3" t="s">
        <v>1424</v>
      </c>
      <c r="BF132" s="3" t="s">
        <v>1425</v>
      </c>
      <c r="BG132" s="3"/>
      <c r="BH132" s="3"/>
      <c r="BI132" s="3"/>
      <c r="BJ132" s="3"/>
      <c r="BK132" s="3"/>
      <c r="BL132" s="3"/>
      <c r="BM132" s="3"/>
      <c r="BN132" s="3"/>
      <c r="BO132" s="3"/>
      <c r="BP132" s="6"/>
      <c r="BQ132" s="3"/>
      <c r="BR132" s="3"/>
      <c r="BS132" s="3"/>
      <c r="BT132" s="3"/>
    </row>
    <row r="133" spans="1:72" ht="87.75" customHeight="1" x14ac:dyDescent="0.25">
      <c r="A133" s="3">
        <v>132</v>
      </c>
      <c r="B133" s="4" t="s">
        <v>1075</v>
      </c>
      <c r="C133" s="4" t="s">
        <v>1426</v>
      </c>
      <c r="D133" s="4" t="s">
        <v>1318</v>
      </c>
      <c r="E133" s="4" t="s">
        <v>1027</v>
      </c>
      <c r="F133" s="4"/>
      <c r="G133" s="4" t="s">
        <v>1427</v>
      </c>
      <c r="H133" s="4" t="s">
        <v>1428</v>
      </c>
      <c r="I133" s="4" t="s">
        <v>1429</v>
      </c>
      <c r="J133" s="4" t="s">
        <v>1430</v>
      </c>
      <c r="K133" s="4"/>
      <c r="L133" s="4" t="s">
        <v>1431</v>
      </c>
      <c r="M133" s="4" t="s">
        <v>1432</v>
      </c>
      <c r="S133" s="15" t="s">
        <v>83</v>
      </c>
      <c r="T133" s="15" t="s">
        <v>84</v>
      </c>
      <c r="V133" s="14"/>
      <c r="W133" s="15"/>
      <c r="X133" s="4" t="s">
        <v>219</v>
      </c>
      <c r="Y133" s="4">
        <v>2</v>
      </c>
      <c r="Z133" s="6">
        <v>4</v>
      </c>
      <c r="AA133" s="3"/>
      <c r="AB133" s="7"/>
      <c r="AC133" s="7"/>
      <c r="AD133" s="6"/>
      <c r="AE133" s="6"/>
      <c r="AF133" s="6">
        <f t="shared" si="37"/>
        <v>0.5</v>
      </c>
      <c r="AG133" s="3"/>
      <c r="AH133" s="3"/>
      <c r="AI133" s="3"/>
      <c r="AJ133" s="3"/>
      <c r="AK133" s="3">
        <v>2</v>
      </c>
      <c r="AL133" s="3">
        <v>3</v>
      </c>
      <c r="AM133" s="3"/>
      <c r="AN133" s="3"/>
      <c r="AO133" s="3"/>
      <c r="AP133" s="3"/>
      <c r="AQ133" s="3"/>
      <c r="AR133" s="6">
        <f t="shared" si="38"/>
        <v>0.66666666666666663</v>
      </c>
      <c r="AS133" s="3" t="s">
        <v>1433</v>
      </c>
      <c r="AT133" s="3" t="s">
        <v>1434</v>
      </c>
      <c r="AU133" s="3"/>
      <c r="AV133" s="3"/>
      <c r="AW133" s="3">
        <v>0</v>
      </c>
      <c r="AX133" s="3">
        <v>0</v>
      </c>
      <c r="AY133" s="3"/>
      <c r="AZ133" s="3"/>
      <c r="BA133" s="3"/>
      <c r="BB133" s="3"/>
      <c r="BC133" s="3"/>
      <c r="BD133" s="9" t="s">
        <v>807</v>
      </c>
      <c r="BE133" s="3" t="s">
        <v>1435</v>
      </c>
      <c r="BF133" s="3" t="s">
        <v>1436</v>
      </c>
      <c r="BG133" s="3"/>
      <c r="BH133" s="3"/>
      <c r="BI133" s="3"/>
      <c r="BJ133" s="3"/>
      <c r="BK133" s="3"/>
      <c r="BL133" s="3"/>
      <c r="BM133" s="3"/>
      <c r="BN133" s="3"/>
      <c r="BO133" s="3"/>
      <c r="BP133" s="6"/>
      <c r="BQ133" s="3"/>
      <c r="BR133" s="3"/>
      <c r="BS133" s="3"/>
      <c r="BT133" s="3"/>
    </row>
    <row r="134" spans="1:72" ht="22.5" customHeight="1" x14ac:dyDescent="0.25">
      <c r="A134" s="3">
        <v>133</v>
      </c>
      <c r="B134" s="4" t="s">
        <v>1075</v>
      </c>
      <c r="D134" s="15" t="s">
        <v>438</v>
      </c>
      <c r="E134" s="4" t="s">
        <v>1356</v>
      </c>
      <c r="F134" s="4"/>
      <c r="G134" s="4" t="s">
        <v>1437</v>
      </c>
      <c r="H134" s="4" t="s">
        <v>1438</v>
      </c>
      <c r="I134" s="4" t="s">
        <v>1439</v>
      </c>
      <c r="K134" s="4"/>
      <c r="L134" s="4" t="s">
        <v>1440</v>
      </c>
      <c r="M134" s="4" t="s">
        <v>1441</v>
      </c>
      <c r="S134" s="15" t="s">
        <v>139</v>
      </c>
      <c r="T134" s="15" t="s">
        <v>84</v>
      </c>
      <c r="V134" s="14"/>
      <c r="W134" s="15"/>
      <c r="X134" s="4" t="s">
        <v>140</v>
      </c>
      <c r="Y134" s="4"/>
      <c r="Z134" s="6"/>
      <c r="AA134" s="3"/>
      <c r="AB134" s="7"/>
      <c r="AC134" s="7"/>
      <c r="AD134" s="6"/>
      <c r="AE134" s="6"/>
      <c r="AF134" s="6"/>
      <c r="AG134" s="3"/>
      <c r="AH134" s="3"/>
      <c r="AI134" s="3"/>
      <c r="AJ134" s="3"/>
      <c r="AM134" s="3"/>
      <c r="AN134" s="3"/>
      <c r="AO134" s="3"/>
      <c r="AP134" s="3"/>
      <c r="AQ134" s="3"/>
      <c r="AR134" s="3"/>
      <c r="AS134" s="3"/>
      <c r="AT134" s="3"/>
      <c r="AU134" s="3"/>
      <c r="AV134" s="3"/>
      <c r="AW134" s="3"/>
      <c r="AX134" s="3"/>
      <c r="AY134" s="3"/>
      <c r="AZ134" s="3"/>
      <c r="BA134" s="3"/>
      <c r="BB134" s="3"/>
      <c r="BC134" s="3"/>
      <c r="BD134" s="9"/>
      <c r="BE134" s="3"/>
      <c r="BF134" s="3"/>
      <c r="BG134" s="3"/>
      <c r="BH134" s="3"/>
      <c r="BI134" s="3"/>
      <c r="BJ134" s="3"/>
      <c r="BK134" s="3"/>
      <c r="BL134" s="3"/>
      <c r="BM134" s="3"/>
      <c r="BN134" s="3"/>
      <c r="BO134" s="3"/>
      <c r="BP134" s="6"/>
      <c r="BQ134" s="3"/>
      <c r="BR134" s="3"/>
      <c r="BS134" s="3"/>
      <c r="BT134" s="3"/>
    </row>
    <row r="135" spans="1:72" ht="54.75" customHeight="1" x14ac:dyDescent="0.25">
      <c r="A135" s="3">
        <v>134</v>
      </c>
      <c r="B135" s="4" t="s">
        <v>1075</v>
      </c>
      <c r="C135" s="4" t="s">
        <v>1442</v>
      </c>
      <c r="D135" s="4" t="s">
        <v>1318</v>
      </c>
      <c r="E135" s="4" t="s">
        <v>1027</v>
      </c>
      <c r="F135" s="4"/>
      <c r="G135" s="4" t="s">
        <v>1443</v>
      </c>
      <c r="H135" s="4" t="s">
        <v>1444</v>
      </c>
      <c r="I135" s="4" t="s">
        <v>1445</v>
      </c>
      <c r="J135" s="4" t="s">
        <v>1446</v>
      </c>
      <c r="K135" s="4"/>
      <c r="L135" s="4" t="s">
        <v>1447</v>
      </c>
      <c r="M135" s="4" t="s">
        <v>1448</v>
      </c>
      <c r="N135" s="4"/>
      <c r="O135" s="4"/>
      <c r="P135" s="4"/>
      <c r="Q135" s="4"/>
      <c r="R135" s="4"/>
      <c r="S135" s="4" t="s">
        <v>139</v>
      </c>
      <c r="T135" s="4" t="s">
        <v>1304</v>
      </c>
      <c r="U135" s="4"/>
      <c r="V135" s="5"/>
      <c r="W135" s="4"/>
      <c r="X135" s="4" t="s">
        <v>219</v>
      </c>
      <c r="Y135" s="4">
        <v>4</v>
      </c>
      <c r="Z135" s="6">
        <v>541</v>
      </c>
      <c r="AA135" s="3"/>
      <c r="AB135" s="7"/>
      <c r="AC135" s="7"/>
      <c r="AD135" s="6"/>
      <c r="AE135" s="6"/>
      <c r="AF135" s="6">
        <f t="shared" ref="AF135:AF136" si="40">(Y135/Z135)*100</f>
        <v>0.73937153419593349</v>
      </c>
      <c r="AG135" s="3"/>
      <c r="AH135" s="3"/>
      <c r="AI135" s="3"/>
      <c r="AJ135" s="3"/>
      <c r="AK135" s="3">
        <v>3</v>
      </c>
      <c r="AL135" s="3">
        <v>548</v>
      </c>
      <c r="AM135" s="3"/>
      <c r="AN135" s="3"/>
      <c r="AO135" s="3"/>
      <c r="AP135" s="3"/>
      <c r="AQ135" s="3"/>
      <c r="AR135" s="6">
        <f t="shared" ref="AR135:AR136" si="41">(AK135/AL135)*100</f>
        <v>0.54744525547445255</v>
      </c>
      <c r="AS135" s="3" t="s">
        <v>1449</v>
      </c>
      <c r="AT135" s="3" t="s">
        <v>1450</v>
      </c>
      <c r="AU135" s="3"/>
      <c r="AV135" s="3"/>
      <c r="AW135" s="3">
        <v>0</v>
      </c>
      <c r="AX135" s="3">
        <v>548</v>
      </c>
      <c r="AY135" s="3"/>
      <c r="AZ135" s="3"/>
      <c r="BA135" s="3"/>
      <c r="BB135" s="3"/>
      <c r="BC135" s="3"/>
      <c r="BD135" s="9">
        <f t="shared" ref="BD135:BD136" si="42">(AW135/AX135)*100</f>
        <v>0</v>
      </c>
      <c r="BE135" s="3" t="s">
        <v>1451</v>
      </c>
      <c r="BF135" s="3" t="s">
        <v>1452</v>
      </c>
      <c r="BG135" s="3"/>
      <c r="BH135" s="3"/>
      <c r="BI135" s="3"/>
      <c r="BJ135" s="3"/>
      <c r="BK135" s="3"/>
      <c r="BL135" s="3"/>
      <c r="BM135" s="3"/>
      <c r="BN135" s="3"/>
      <c r="BO135" s="3"/>
      <c r="BP135" s="6"/>
      <c r="BQ135" s="3"/>
      <c r="BR135" s="3"/>
      <c r="BS135" s="3"/>
      <c r="BT135" s="3"/>
    </row>
    <row r="136" spans="1:72" ht="94.5" customHeight="1" x14ac:dyDescent="0.25">
      <c r="A136" s="3">
        <v>135</v>
      </c>
      <c r="B136" s="4" t="s">
        <v>1075</v>
      </c>
      <c r="C136" s="4" t="s">
        <v>1076</v>
      </c>
      <c r="D136" s="4" t="s">
        <v>1318</v>
      </c>
      <c r="E136" s="4" t="s">
        <v>1027</v>
      </c>
      <c r="F136" s="4"/>
      <c r="G136" s="4" t="s">
        <v>1437</v>
      </c>
      <c r="H136" s="4" t="s">
        <v>1453</v>
      </c>
      <c r="I136" s="4" t="s">
        <v>1454</v>
      </c>
      <c r="J136" s="4" t="s">
        <v>1455</v>
      </c>
      <c r="K136" s="4"/>
      <c r="L136" s="4" t="s">
        <v>1456</v>
      </c>
      <c r="M136" s="4" t="s">
        <v>1457</v>
      </c>
      <c r="N136" s="4"/>
      <c r="O136" s="4"/>
      <c r="P136" s="4"/>
      <c r="Q136" s="4"/>
      <c r="R136" s="4"/>
      <c r="S136" s="4" t="s">
        <v>139</v>
      </c>
      <c r="T136" s="4" t="s">
        <v>1304</v>
      </c>
      <c r="U136" s="4"/>
      <c r="V136" s="5"/>
      <c r="W136" s="4"/>
      <c r="X136" s="4" t="s">
        <v>219</v>
      </c>
      <c r="Y136" s="4">
        <v>69</v>
      </c>
      <c r="Z136" s="6">
        <v>90888</v>
      </c>
      <c r="AA136" s="3"/>
      <c r="AB136" s="7"/>
      <c r="AC136" s="7"/>
      <c r="AD136" s="6"/>
      <c r="AE136" s="6"/>
      <c r="AF136" s="6">
        <f t="shared" si="40"/>
        <v>7.5917612886189589E-2</v>
      </c>
      <c r="AG136" s="3"/>
      <c r="AH136" s="3"/>
      <c r="AI136" s="3"/>
      <c r="AJ136" s="3"/>
      <c r="AK136" s="3">
        <v>18</v>
      </c>
      <c r="AL136" s="3">
        <v>92064</v>
      </c>
      <c r="AM136" s="3"/>
      <c r="AN136" s="3"/>
      <c r="AO136" s="3"/>
      <c r="AP136" s="3"/>
      <c r="AQ136" s="3"/>
      <c r="AR136" s="6">
        <f t="shared" si="41"/>
        <v>1.9551616266944735E-2</v>
      </c>
      <c r="AS136" s="3" t="s">
        <v>1458</v>
      </c>
      <c r="AT136" s="3" t="s">
        <v>1459</v>
      </c>
      <c r="AU136" s="3"/>
      <c r="AV136" s="3"/>
      <c r="AW136" s="3">
        <v>0</v>
      </c>
      <c r="AX136" s="3">
        <v>92064</v>
      </c>
      <c r="AY136" s="3"/>
      <c r="AZ136" s="3"/>
      <c r="BA136" s="3"/>
      <c r="BB136" s="3"/>
      <c r="BC136" s="3"/>
      <c r="BD136" s="9">
        <f t="shared" si="42"/>
        <v>0</v>
      </c>
      <c r="BE136" s="3" t="s">
        <v>1460</v>
      </c>
      <c r="BF136" s="3" t="s">
        <v>1461</v>
      </c>
      <c r="BG136" s="3"/>
      <c r="BH136" s="3"/>
      <c r="BI136" s="3"/>
      <c r="BJ136" s="3"/>
      <c r="BK136" s="3"/>
      <c r="BL136" s="3"/>
      <c r="BM136" s="3"/>
      <c r="BN136" s="3"/>
      <c r="BO136" s="3"/>
      <c r="BP136" s="6"/>
      <c r="BQ136" s="3"/>
      <c r="BR136" s="3"/>
      <c r="BS136" s="3"/>
      <c r="BT136" s="3"/>
    </row>
    <row r="137" spans="1:72" ht="96.75" customHeight="1" x14ac:dyDescent="0.25">
      <c r="A137" s="32">
        <v>136</v>
      </c>
      <c r="B137" s="33" t="s">
        <v>1075</v>
      </c>
      <c r="C137" s="33" t="s">
        <v>1076</v>
      </c>
      <c r="D137" s="33" t="s">
        <v>1318</v>
      </c>
      <c r="E137" s="33" t="s">
        <v>1027</v>
      </c>
      <c r="F137" s="33"/>
      <c r="G137" s="33" t="s">
        <v>1462</v>
      </c>
      <c r="H137" s="33" t="s">
        <v>1463</v>
      </c>
      <c r="I137" s="33" t="s">
        <v>1464</v>
      </c>
      <c r="J137" s="33" t="s">
        <v>1465</v>
      </c>
      <c r="K137" s="33" t="s">
        <v>1466</v>
      </c>
      <c r="L137" s="33" t="s">
        <v>1467</v>
      </c>
      <c r="M137" s="33" t="s">
        <v>1468</v>
      </c>
      <c r="N137" s="33" t="s">
        <v>1457</v>
      </c>
      <c r="O137" s="34"/>
      <c r="P137" s="34"/>
      <c r="Q137" s="34"/>
      <c r="R137" s="34"/>
      <c r="S137" s="34" t="s">
        <v>83</v>
      </c>
      <c r="T137" s="34" t="s">
        <v>1304</v>
      </c>
      <c r="U137" s="34"/>
      <c r="V137" s="40"/>
      <c r="W137" s="34"/>
      <c r="X137" s="33" t="s">
        <v>86</v>
      </c>
      <c r="Y137" s="33"/>
      <c r="Z137" s="36"/>
      <c r="AA137" s="32"/>
      <c r="AB137" s="37"/>
      <c r="AC137" s="37"/>
      <c r="AD137" s="36"/>
      <c r="AE137" s="36"/>
      <c r="AF137" s="36"/>
      <c r="AG137" s="32"/>
      <c r="AH137" s="32"/>
      <c r="AI137" s="32"/>
      <c r="AJ137" s="32" t="s">
        <v>1469</v>
      </c>
      <c r="AK137" s="32"/>
      <c r="AL137" s="32"/>
      <c r="AM137" s="32"/>
      <c r="AN137" s="32"/>
      <c r="AO137" s="32"/>
      <c r="AP137" s="32"/>
      <c r="AQ137" s="32"/>
      <c r="AR137" s="32"/>
      <c r="AS137" s="32"/>
      <c r="AT137" s="32"/>
      <c r="AU137" s="32"/>
      <c r="AV137" s="32" t="s">
        <v>1469</v>
      </c>
      <c r="AW137" s="32"/>
      <c r="AX137" s="32"/>
      <c r="AY137" s="32"/>
      <c r="AZ137" s="32"/>
      <c r="BA137" s="32"/>
      <c r="BB137" s="32"/>
      <c r="BC137" s="32"/>
      <c r="BD137" s="39"/>
      <c r="BE137" s="32"/>
      <c r="BF137" s="32"/>
      <c r="BG137" s="32"/>
      <c r="BH137" s="32" t="s">
        <v>1469</v>
      </c>
      <c r="BI137" s="32"/>
      <c r="BJ137" s="32"/>
      <c r="BK137" s="32"/>
      <c r="BL137" s="32"/>
      <c r="BM137" s="32"/>
      <c r="BN137" s="32"/>
      <c r="BO137" s="32"/>
      <c r="BP137" s="36"/>
      <c r="BQ137" s="32"/>
      <c r="BR137" s="32"/>
      <c r="BS137" s="32"/>
      <c r="BT137" s="32"/>
    </row>
    <row r="138" spans="1:72" ht="94.5" customHeight="1" x14ac:dyDescent="0.25">
      <c r="A138" s="3">
        <v>137</v>
      </c>
      <c r="B138" s="4" t="s">
        <v>1075</v>
      </c>
      <c r="C138" s="4" t="s">
        <v>1076</v>
      </c>
      <c r="D138" s="4" t="s">
        <v>1318</v>
      </c>
      <c r="E138" s="4" t="s">
        <v>1027</v>
      </c>
      <c r="F138" s="4"/>
      <c r="G138" s="4" t="s">
        <v>1470</v>
      </c>
      <c r="H138" s="4" t="s">
        <v>1471</v>
      </c>
      <c r="I138" s="4" t="s">
        <v>1464</v>
      </c>
      <c r="J138" s="4" t="s">
        <v>1472</v>
      </c>
      <c r="K138" s="4"/>
      <c r="L138" s="4" t="s">
        <v>1473</v>
      </c>
      <c r="M138" s="4" t="s">
        <v>1474</v>
      </c>
      <c r="N138" s="4" t="s">
        <v>1475</v>
      </c>
      <c r="S138" s="15" t="s">
        <v>139</v>
      </c>
      <c r="T138" s="15" t="s">
        <v>1304</v>
      </c>
      <c r="V138" s="14"/>
      <c r="W138" s="15"/>
      <c r="X138" s="4" t="s">
        <v>219</v>
      </c>
      <c r="Y138" s="4">
        <v>0</v>
      </c>
      <c r="Z138" s="6">
        <v>0</v>
      </c>
      <c r="AA138" s="3">
        <v>541</v>
      </c>
      <c r="AB138" s="7"/>
      <c r="AC138" s="7"/>
      <c r="AD138" s="6"/>
      <c r="AE138" s="6"/>
      <c r="AF138" s="6">
        <f>((Y138+Z138)/AA138)*100</f>
        <v>0</v>
      </c>
      <c r="AG138" s="3"/>
      <c r="AH138" s="3"/>
      <c r="AI138" s="3"/>
      <c r="AJ138" s="3"/>
      <c r="AK138" s="3">
        <v>0</v>
      </c>
      <c r="AL138" s="3">
        <v>0</v>
      </c>
      <c r="AM138" s="3">
        <v>548</v>
      </c>
      <c r="AN138" s="3"/>
      <c r="AO138" s="3"/>
      <c r="AP138" s="3"/>
      <c r="AQ138" s="3"/>
      <c r="AR138" s="6">
        <f>((AK138+AL138)/AM138)*100</f>
        <v>0</v>
      </c>
      <c r="AS138" s="3" t="s">
        <v>1476</v>
      </c>
      <c r="AT138" s="3" t="s">
        <v>1477</v>
      </c>
      <c r="AU138" s="3"/>
      <c r="AV138" s="3"/>
      <c r="AW138" s="3">
        <v>0</v>
      </c>
      <c r="AX138" s="3">
        <v>0</v>
      </c>
      <c r="AY138" s="3">
        <v>548</v>
      </c>
      <c r="AZ138" s="3"/>
      <c r="BA138" s="3"/>
      <c r="BB138" s="3"/>
      <c r="BC138" s="3"/>
      <c r="BD138" s="9">
        <f>((AW138+AX138)/AY138)*100</f>
        <v>0</v>
      </c>
      <c r="BE138" s="3" t="s">
        <v>1478</v>
      </c>
      <c r="BF138" s="3" t="s">
        <v>1479</v>
      </c>
      <c r="BG138" s="3"/>
      <c r="BH138" s="3"/>
      <c r="BI138" s="3"/>
      <c r="BJ138" s="3"/>
      <c r="BK138" s="3"/>
      <c r="BL138" s="3"/>
      <c r="BM138" s="3"/>
      <c r="BN138" s="3"/>
      <c r="BO138" s="3"/>
      <c r="BP138" s="6"/>
      <c r="BQ138" s="3"/>
      <c r="BR138" s="3"/>
      <c r="BS138" s="3"/>
      <c r="BT138" s="3"/>
    </row>
    <row r="139" spans="1:72" ht="104.25" customHeight="1" x14ac:dyDescent="0.25">
      <c r="A139" s="3">
        <v>138</v>
      </c>
      <c r="B139" s="4" t="s">
        <v>1075</v>
      </c>
      <c r="C139" s="4" t="s">
        <v>1076</v>
      </c>
      <c r="D139" s="4" t="s">
        <v>1318</v>
      </c>
      <c r="E139" s="4" t="s">
        <v>1027</v>
      </c>
      <c r="F139" s="4"/>
      <c r="G139" s="4" t="s">
        <v>1480</v>
      </c>
      <c r="H139" s="4" t="s">
        <v>1481</v>
      </c>
      <c r="I139" s="4" t="s">
        <v>1464</v>
      </c>
      <c r="J139" s="4" t="s">
        <v>1472</v>
      </c>
      <c r="K139" s="4" t="s">
        <v>1482</v>
      </c>
      <c r="L139" s="4" t="s">
        <v>1483</v>
      </c>
      <c r="M139" s="4" t="s">
        <v>1475</v>
      </c>
      <c r="S139" s="15" t="s">
        <v>83</v>
      </c>
      <c r="T139" s="15" t="s">
        <v>1304</v>
      </c>
      <c r="V139" s="14"/>
      <c r="W139" s="15"/>
      <c r="X139" s="4" t="s">
        <v>219</v>
      </c>
      <c r="Y139" s="4">
        <v>0</v>
      </c>
      <c r="Z139" s="6">
        <v>479</v>
      </c>
      <c r="AA139" s="3"/>
      <c r="AB139" s="7"/>
      <c r="AC139" s="7"/>
      <c r="AD139" s="6"/>
      <c r="AE139" s="6"/>
      <c r="AF139" s="6">
        <v>0</v>
      </c>
      <c r="AG139" s="3"/>
      <c r="AH139" s="3"/>
      <c r="AI139" s="3"/>
      <c r="AJ139" s="3"/>
      <c r="AK139" s="3">
        <v>0</v>
      </c>
      <c r="AL139" s="3">
        <v>548</v>
      </c>
      <c r="AM139" s="3"/>
      <c r="AN139" s="3"/>
      <c r="AO139" s="3"/>
      <c r="AP139" s="3"/>
      <c r="AQ139" s="3"/>
      <c r="AR139" s="3">
        <v>0</v>
      </c>
      <c r="AS139" s="3" t="s">
        <v>1484</v>
      </c>
      <c r="AT139" s="3" t="s">
        <v>1485</v>
      </c>
      <c r="AU139" s="3"/>
      <c r="AV139" s="3"/>
      <c r="AW139" s="3">
        <v>0</v>
      </c>
      <c r="AX139" s="3">
        <v>0</v>
      </c>
      <c r="AY139" s="3"/>
      <c r="AZ139" s="3"/>
      <c r="BA139" s="3"/>
      <c r="BB139" s="3"/>
      <c r="BC139" s="3"/>
      <c r="BD139" s="9" t="s">
        <v>807</v>
      </c>
      <c r="BE139" s="3" t="s">
        <v>1486</v>
      </c>
      <c r="BF139" s="3" t="s">
        <v>1487</v>
      </c>
      <c r="BG139" s="3"/>
      <c r="BH139" s="3"/>
      <c r="BI139" s="3"/>
      <c r="BJ139" s="3"/>
      <c r="BK139" s="3"/>
      <c r="BL139" s="3"/>
      <c r="BM139" s="3"/>
      <c r="BN139" s="3"/>
      <c r="BO139" s="3"/>
      <c r="BP139" s="6"/>
      <c r="BQ139" s="3"/>
      <c r="BR139" s="3"/>
      <c r="BS139" s="3"/>
      <c r="BT139" s="3"/>
    </row>
    <row r="140" spans="1:72" ht="86.25" customHeight="1" x14ac:dyDescent="0.25">
      <c r="A140" s="3">
        <v>139</v>
      </c>
      <c r="B140" s="4" t="s">
        <v>1075</v>
      </c>
      <c r="C140" s="4" t="s">
        <v>653</v>
      </c>
      <c r="D140" s="4" t="s">
        <v>1318</v>
      </c>
      <c r="E140" s="4" t="s">
        <v>1027</v>
      </c>
      <c r="F140" s="4"/>
      <c r="G140" s="4" t="s">
        <v>1488</v>
      </c>
      <c r="H140" s="4" t="s">
        <v>1489</v>
      </c>
      <c r="I140" s="4" t="s">
        <v>1490</v>
      </c>
      <c r="J140" s="15" t="s">
        <v>1491</v>
      </c>
      <c r="K140" s="4" t="s">
        <v>1492</v>
      </c>
      <c r="L140" s="4" t="s">
        <v>1493</v>
      </c>
      <c r="M140" s="4" t="s">
        <v>1494</v>
      </c>
      <c r="S140" s="15" t="s">
        <v>83</v>
      </c>
      <c r="T140" s="15" t="s">
        <v>84</v>
      </c>
      <c r="V140" s="14"/>
      <c r="W140" s="15"/>
      <c r="X140" s="4" t="s">
        <v>219</v>
      </c>
      <c r="Y140" s="4">
        <v>786</v>
      </c>
      <c r="Z140" s="6">
        <v>20800</v>
      </c>
      <c r="AA140" s="3"/>
      <c r="AB140" s="7"/>
      <c r="AC140" s="7"/>
      <c r="AD140" s="6"/>
      <c r="AE140" s="6"/>
      <c r="AF140" s="6">
        <f>(Y140/Z140)*100</f>
        <v>3.7788461538461542</v>
      </c>
      <c r="AG140" s="3"/>
      <c r="AH140" s="3"/>
      <c r="AI140" s="3"/>
      <c r="AJ140" s="3"/>
      <c r="AK140" s="4">
        <v>461</v>
      </c>
      <c r="AL140" s="4">
        <v>11445</v>
      </c>
      <c r="AM140" s="3"/>
      <c r="AN140" s="7"/>
      <c r="AO140" s="7"/>
      <c r="AP140" s="6"/>
      <c r="AQ140" s="6"/>
      <c r="AR140" s="6">
        <f>(AK140/AL140)*100</f>
        <v>4.0279598077763215</v>
      </c>
      <c r="AS140" s="3" t="s">
        <v>1495</v>
      </c>
      <c r="AT140" s="3" t="s">
        <v>1496</v>
      </c>
      <c r="AU140" s="3" t="s">
        <v>1497</v>
      </c>
      <c r="AV140" s="3"/>
      <c r="AW140" s="4">
        <v>539</v>
      </c>
      <c r="AX140" s="4">
        <v>10980</v>
      </c>
      <c r="AY140" s="3"/>
      <c r="AZ140" s="7"/>
      <c r="BA140" s="7"/>
      <c r="BB140" s="6"/>
      <c r="BC140" s="6"/>
      <c r="BD140" s="9">
        <f>AW140/AX140</f>
        <v>4.908925318761384E-2</v>
      </c>
      <c r="BE140" s="3" t="s">
        <v>1498</v>
      </c>
      <c r="BF140" s="3" t="s">
        <v>1499</v>
      </c>
      <c r="BG140" s="3" t="s">
        <v>1500</v>
      </c>
      <c r="BH140" s="3"/>
      <c r="BI140" s="3"/>
      <c r="BJ140" s="3"/>
      <c r="BK140" s="3"/>
      <c r="BL140" s="3"/>
      <c r="BM140" s="3"/>
      <c r="BN140" s="3"/>
      <c r="BO140" s="3"/>
      <c r="BP140" s="6"/>
      <c r="BQ140" s="3"/>
      <c r="BR140" s="3"/>
      <c r="BS140" s="3"/>
      <c r="BT140" s="3"/>
    </row>
    <row r="141" spans="1:72" ht="108" customHeight="1" x14ac:dyDescent="0.25">
      <c r="A141" s="3">
        <v>140</v>
      </c>
      <c r="B141" s="4" t="s">
        <v>1075</v>
      </c>
      <c r="C141" s="4" t="s">
        <v>1076</v>
      </c>
      <c r="D141" s="4" t="s">
        <v>1318</v>
      </c>
      <c r="E141" s="4" t="s">
        <v>1027</v>
      </c>
      <c r="F141" s="4"/>
      <c r="G141" s="4" t="s">
        <v>1501</v>
      </c>
      <c r="H141" s="4" t="s">
        <v>1502</v>
      </c>
      <c r="I141" s="4" t="s">
        <v>1503</v>
      </c>
      <c r="J141" s="4" t="s">
        <v>1504</v>
      </c>
      <c r="K141" s="4" t="s">
        <v>1505</v>
      </c>
      <c r="L141" s="4" t="s">
        <v>1506</v>
      </c>
      <c r="M141" s="4" t="s">
        <v>1507</v>
      </c>
      <c r="S141" s="15" t="s">
        <v>139</v>
      </c>
      <c r="T141" s="15" t="s">
        <v>84</v>
      </c>
      <c r="V141" s="14"/>
      <c r="W141" s="15"/>
      <c r="X141" s="4" t="s">
        <v>219</v>
      </c>
      <c r="Y141" s="4">
        <v>88</v>
      </c>
      <c r="Z141" s="6">
        <v>125</v>
      </c>
      <c r="AA141" s="3"/>
      <c r="AB141" s="7"/>
      <c r="AC141" s="7"/>
      <c r="AD141" s="6"/>
      <c r="AE141" s="6"/>
      <c r="AF141" s="6">
        <f>Z141-Y141</f>
        <v>37</v>
      </c>
      <c r="AG141" s="3"/>
      <c r="AH141" s="3"/>
      <c r="AI141" s="3"/>
      <c r="AJ141" s="3"/>
      <c r="AK141" s="3">
        <v>10</v>
      </c>
      <c r="AL141" s="3">
        <v>32</v>
      </c>
      <c r="AM141" s="3"/>
      <c r="AN141" s="3"/>
      <c r="AO141" s="3"/>
      <c r="AP141" s="3"/>
      <c r="AQ141" s="3"/>
      <c r="AR141" s="6">
        <f>AL141-AK141</f>
        <v>22</v>
      </c>
      <c r="AS141" s="3" t="s">
        <v>1508</v>
      </c>
      <c r="AT141" s="3" t="s">
        <v>1509</v>
      </c>
      <c r="AU141" s="3"/>
      <c r="AV141" s="3"/>
      <c r="AW141" s="3">
        <v>7</v>
      </c>
      <c r="AX141" s="3">
        <v>28</v>
      </c>
      <c r="AY141" s="3"/>
      <c r="AZ141" s="3"/>
      <c r="BA141" s="3"/>
      <c r="BB141" s="3"/>
      <c r="BC141" s="3"/>
      <c r="BD141" s="9">
        <f>AX141-AW141</f>
        <v>21</v>
      </c>
      <c r="BE141" s="3" t="s">
        <v>1510</v>
      </c>
      <c r="BF141" s="3" t="s">
        <v>1511</v>
      </c>
      <c r="BG141" s="3"/>
      <c r="BH141" s="3"/>
      <c r="BI141" s="3"/>
      <c r="BJ141" s="3"/>
      <c r="BK141" s="3"/>
      <c r="BL141" s="3"/>
      <c r="BM141" s="3"/>
      <c r="BN141" s="3"/>
      <c r="BO141" s="3"/>
      <c r="BP141" s="6"/>
      <c r="BQ141" s="3"/>
      <c r="BR141" s="3"/>
      <c r="BS141" s="3"/>
      <c r="BT141" s="3"/>
    </row>
    <row r="142" spans="1:72" ht="90" customHeight="1" x14ac:dyDescent="0.25">
      <c r="A142" s="3">
        <v>141</v>
      </c>
      <c r="B142" s="4" t="s">
        <v>1075</v>
      </c>
      <c r="C142" s="4" t="s">
        <v>1076</v>
      </c>
      <c r="D142" s="4" t="s">
        <v>1318</v>
      </c>
      <c r="E142" s="4" t="s">
        <v>1027</v>
      </c>
      <c r="F142" s="4"/>
      <c r="G142" s="4" t="s">
        <v>1512</v>
      </c>
      <c r="H142" s="4" t="s">
        <v>1513</v>
      </c>
      <c r="I142" s="4" t="s">
        <v>1514</v>
      </c>
      <c r="J142" s="4" t="s">
        <v>1515</v>
      </c>
      <c r="K142" s="4" t="s">
        <v>1516</v>
      </c>
      <c r="L142" s="4" t="s">
        <v>1517</v>
      </c>
      <c r="M142" s="4" t="s">
        <v>1518</v>
      </c>
      <c r="S142" s="15" t="s">
        <v>139</v>
      </c>
      <c r="T142" s="15" t="s">
        <v>84</v>
      </c>
      <c r="V142" s="14"/>
      <c r="W142" s="15"/>
      <c r="X142" s="4" t="s">
        <v>219</v>
      </c>
      <c r="Y142" s="4">
        <v>13</v>
      </c>
      <c r="Z142" s="6">
        <v>541</v>
      </c>
      <c r="AA142" s="3"/>
      <c r="AB142" s="7"/>
      <c r="AC142" s="7"/>
      <c r="AD142" s="6"/>
      <c r="AE142" s="6"/>
      <c r="AF142" s="6">
        <f>Y142/Z142</f>
        <v>2.4029574861367836E-2</v>
      </c>
      <c r="AG142" s="3"/>
      <c r="AH142" s="3"/>
      <c r="AI142" s="3"/>
      <c r="AJ142" s="3"/>
      <c r="AK142" s="3">
        <v>6</v>
      </c>
      <c r="AL142" s="3">
        <v>545</v>
      </c>
      <c r="AM142" s="3"/>
      <c r="AN142" s="3"/>
      <c r="AO142" s="3"/>
      <c r="AP142" s="3"/>
      <c r="AQ142" s="3"/>
      <c r="AR142" s="3">
        <f>(AK142/AL142)*100</f>
        <v>1.1009174311926606</v>
      </c>
      <c r="AS142" s="3" t="s">
        <v>1519</v>
      </c>
      <c r="AT142" s="3" t="s">
        <v>1520</v>
      </c>
      <c r="AU142" s="3"/>
      <c r="AV142" s="3"/>
      <c r="AW142" s="3">
        <v>3</v>
      </c>
      <c r="AX142" s="3">
        <v>548</v>
      </c>
      <c r="AY142" s="3"/>
      <c r="AZ142" s="3"/>
      <c r="BA142" s="3"/>
      <c r="BB142" s="3"/>
      <c r="BC142" s="3"/>
      <c r="BD142" s="9">
        <f>(AW142/AX142)*100</f>
        <v>0.54744525547445255</v>
      </c>
      <c r="BE142" s="3" t="s">
        <v>1521</v>
      </c>
      <c r="BF142" s="3" t="s">
        <v>1522</v>
      </c>
      <c r="BG142" s="3"/>
      <c r="BH142" s="3"/>
      <c r="BI142" s="3"/>
      <c r="BJ142" s="3"/>
      <c r="BK142" s="3"/>
      <c r="BL142" s="3"/>
      <c r="BM142" s="3"/>
      <c r="BN142" s="3"/>
      <c r="BO142" s="3"/>
      <c r="BP142" s="6"/>
      <c r="BQ142" s="3"/>
      <c r="BR142" s="3"/>
      <c r="BS142" s="3"/>
      <c r="BT142" s="3"/>
    </row>
    <row r="143" spans="1:72" ht="78" customHeight="1" x14ac:dyDescent="0.25">
      <c r="A143" s="3">
        <v>142</v>
      </c>
      <c r="B143" s="4" t="s">
        <v>1075</v>
      </c>
      <c r="C143" s="4" t="s">
        <v>1523</v>
      </c>
      <c r="D143" s="4" t="s">
        <v>1318</v>
      </c>
      <c r="E143" s="4" t="s">
        <v>1027</v>
      </c>
      <c r="F143" s="4"/>
      <c r="G143" s="4" t="s">
        <v>1524</v>
      </c>
      <c r="H143" s="4" t="s">
        <v>1525</v>
      </c>
      <c r="I143" s="4" t="s">
        <v>1526</v>
      </c>
      <c r="J143" s="4" t="s">
        <v>1527</v>
      </c>
      <c r="K143" s="4" t="s">
        <v>1528</v>
      </c>
      <c r="L143" s="4" t="s">
        <v>1517</v>
      </c>
      <c r="M143" s="4" t="s">
        <v>1529</v>
      </c>
      <c r="N143" s="4" t="s">
        <v>1530</v>
      </c>
      <c r="S143" s="15" t="s">
        <v>139</v>
      </c>
      <c r="T143" s="15" t="s">
        <v>84</v>
      </c>
      <c r="V143" s="14"/>
      <c r="W143" s="15"/>
      <c r="X143" s="4" t="s">
        <v>86</v>
      </c>
      <c r="Y143" s="4">
        <v>7</v>
      </c>
      <c r="Z143" s="6">
        <v>512</v>
      </c>
      <c r="AA143" s="3">
        <v>566</v>
      </c>
      <c r="AB143" s="7"/>
      <c r="AC143" s="7"/>
      <c r="AD143" s="6"/>
      <c r="AE143" s="6"/>
      <c r="AF143" s="6">
        <f>(Y143/(Z143+AA143))*100</f>
        <v>0.64935064935064934</v>
      </c>
      <c r="AG143" s="3"/>
      <c r="AH143" s="3"/>
      <c r="AI143" s="3"/>
      <c r="AJ143" s="3"/>
      <c r="AK143" s="4">
        <v>3</v>
      </c>
      <c r="AL143" s="4">
        <v>304</v>
      </c>
      <c r="AM143" s="3">
        <v>308</v>
      </c>
      <c r="AN143" s="7"/>
      <c r="AO143" s="7"/>
      <c r="AP143" s="6"/>
      <c r="AQ143" s="6"/>
      <c r="AR143" s="6">
        <f>(AK143/(AL143+AM143))*100</f>
        <v>0.49019607843137253</v>
      </c>
      <c r="AS143" s="3" t="s">
        <v>1531</v>
      </c>
      <c r="AT143" s="3" t="s">
        <v>1532</v>
      </c>
      <c r="AU143" s="3"/>
      <c r="AV143" s="3"/>
      <c r="AW143" s="4">
        <v>3</v>
      </c>
      <c r="AX143" s="4">
        <v>28</v>
      </c>
      <c r="AY143" s="3">
        <v>24</v>
      </c>
      <c r="AZ143" s="7"/>
      <c r="BA143" s="7"/>
      <c r="BB143" s="6"/>
      <c r="BC143" s="6"/>
      <c r="BD143" s="9">
        <f>(AW143/(AX143+AY143))*100</f>
        <v>5.7692307692307692</v>
      </c>
      <c r="BE143" s="3" t="s">
        <v>1533</v>
      </c>
      <c r="BF143" s="3" t="s">
        <v>1534</v>
      </c>
      <c r="BG143" s="3"/>
      <c r="BH143" s="3"/>
      <c r="BI143" s="3"/>
      <c r="BJ143" s="3"/>
      <c r="BK143" s="3"/>
      <c r="BL143" s="3"/>
      <c r="BM143" s="3"/>
      <c r="BN143" s="3"/>
      <c r="BO143" s="3"/>
      <c r="BP143" s="6"/>
      <c r="BQ143" s="3"/>
      <c r="BR143" s="3"/>
      <c r="BS143" s="3"/>
      <c r="BT143" s="3"/>
    </row>
    <row r="144" spans="1:72" ht="108.75" customHeight="1" x14ac:dyDescent="0.25">
      <c r="A144" s="3">
        <v>143</v>
      </c>
      <c r="B144" s="4" t="s">
        <v>1075</v>
      </c>
      <c r="C144" s="4" t="s">
        <v>1076</v>
      </c>
      <c r="D144" s="4" t="s">
        <v>1318</v>
      </c>
      <c r="E144" s="4" t="s">
        <v>1027</v>
      </c>
      <c r="F144" s="4"/>
      <c r="G144" s="4" t="s">
        <v>1374</v>
      </c>
      <c r="H144" s="4" t="s">
        <v>1535</v>
      </c>
      <c r="I144" s="4" t="s">
        <v>1536</v>
      </c>
      <c r="J144" s="4" t="s">
        <v>1537</v>
      </c>
      <c r="K144" s="4" t="s">
        <v>1538</v>
      </c>
      <c r="L144" s="4" t="s">
        <v>1539</v>
      </c>
      <c r="M144" s="4"/>
      <c r="S144" s="15" t="s">
        <v>406</v>
      </c>
      <c r="T144" s="15" t="s">
        <v>407</v>
      </c>
      <c r="U144" s="4" t="s">
        <v>1540</v>
      </c>
      <c r="V144" s="14"/>
      <c r="W144" s="15"/>
      <c r="X144" s="4" t="s">
        <v>219</v>
      </c>
      <c r="Y144" s="4">
        <v>152</v>
      </c>
      <c r="Z144" s="6"/>
      <c r="AA144" s="3"/>
      <c r="AB144" s="7"/>
      <c r="AC144" s="7"/>
      <c r="AD144" s="6"/>
      <c r="AE144" s="6"/>
      <c r="AF144" s="6">
        <f>Y144</f>
        <v>152</v>
      </c>
      <c r="AG144" s="3" t="s">
        <v>130</v>
      </c>
      <c r="AH144" s="3" t="s">
        <v>130</v>
      </c>
      <c r="AI144" s="3" t="s">
        <v>130</v>
      </c>
      <c r="AJ144" s="3" t="s">
        <v>1541</v>
      </c>
      <c r="AK144" s="3">
        <v>165</v>
      </c>
      <c r="AL144" s="3"/>
      <c r="AM144" s="3"/>
      <c r="AN144" s="3"/>
      <c r="AO144" s="3"/>
      <c r="AP144" s="3"/>
      <c r="AQ144" s="3"/>
      <c r="AR144" s="3">
        <f>AK144</f>
        <v>165</v>
      </c>
      <c r="AS144" s="3" t="s">
        <v>1542</v>
      </c>
      <c r="AT144" s="3" t="s">
        <v>1543</v>
      </c>
      <c r="AU144" s="3" t="s">
        <v>130</v>
      </c>
      <c r="AV144" s="3"/>
      <c r="AW144" s="3">
        <v>148</v>
      </c>
      <c r="AX144" s="3"/>
      <c r="AY144" s="3"/>
      <c r="AZ144" s="3"/>
      <c r="BA144" s="3"/>
      <c r="BB144" s="3"/>
      <c r="BC144" s="3"/>
      <c r="BD144" s="9">
        <f>AW144</f>
        <v>148</v>
      </c>
      <c r="BE144" s="3" t="s">
        <v>1544</v>
      </c>
      <c r="BF144" s="3" t="s">
        <v>1545</v>
      </c>
      <c r="BG144" s="3"/>
      <c r="BH144" s="3"/>
      <c r="BI144" s="3"/>
      <c r="BJ144" s="3"/>
      <c r="BK144" s="3"/>
      <c r="BL144" s="3"/>
      <c r="BM144" s="3"/>
      <c r="BN144" s="3"/>
      <c r="BO144" s="3"/>
      <c r="BP144" s="6"/>
      <c r="BQ144" s="3"/>
      <c r="BR144" s="3"/>
      <c r="BS144" s="3"/>
      <c r="BT144" s="3"/>
    </row>
    <row r="145" spans="1:72" ht="82.5" customHeight="1" x14ac:dyDescent="0.25">
      <c r="A145" s="3">
        <v>144</v>
      </c>
      <c r="B145" s="4" t="s">
        <v>1075</v>
      </c>
      <c r="C145" s="4" t="s">
        <v>1076</v>
      </c>
      <c r="D145" s="4" t="s">
        <v>1318</v>
      </c>
      <c r="E145" s="4" t="s">
        <v>1546</v>
      </c>
      <c r="F145" s="4"/>
      <c r="G145" s="4" t="s">
        <v>1547</v>
      </c>
      <c r="H145" s="4" t="s">
        <v>1548</v>
      </c>
      <c r="I145" s="4" t="s">
        <v>1549</v>
      </c>
      <c r="J145" s="4" t="s">
        <v>1550</v>
      </c>
      <c r="K145" s="4" t="s">
        <v>1551</v>
      </c>
      <c r="L145" s="4" t="s">
        <v>1552</v>
      </c>
      <c r="M145" s="4" t="s">
        <v>1553</v>
      </c>
      <c r="N145" s="4" t="s">
        <v>1554</v>
      </c>
      <c r="S145" s="15" t="s">
        <v>534</v>
      </c>
      <c r="T145" s="15" t="s">
        <v>105</v>
      </c>
      <c r="V145" s="14">
        <v>3</v>
      </c>
      <c r="W145" s="15" t="s">
        <v>1555</v>
      </c>
      <c r="X145" s="4" t="s">
        <v>86</v>
      </c>
      <c r="Y145" s="4"/>
      <c r="Z145" s="6"/>
      <c r="AA145" s="3"/>
      <c r="AB145" s="7"/>
      <c r="AC145" s="7"/>
      <c r="AD145" s="6"/>
      <c r="AE145" s="6"/>
      <c r="AF145" s="6"/>
      <c r="AG145" s="3" t="s">
        <v>130</v>
      </c>
      <c r="AH145" s="3" t="s">
        <v>130</v>
      </c>
      <c r="AI145" s="3" t="s">
        <v>1556</v>
      </c>
      <c r="AJ145" s="3"/>
      <c r="AK145" s="3"/>
      <c r="AL145" s="3"/>
      <c r="AM145" s="3"/>
      <c r="AN145" s="3"/>
      <c r="AO145" s="3"/>
      <c r="AP145" s="3"/>
      <c r="AQ145" s="3"/>
      <c r="AR145" s="3"/>
      <c r="AS145" s="3" t="s">
        <v>130</v>
      </c>
      <c r="AT145" s="3" t="s">
        <v>130</v>
      </c>
      <c r="AU145" s="3" t="s">
        <v>1556</v>
      </c>
      <c r="AV145" s="3" t="s">
        <v>1557</v>
      </c>
      <c r="AW145" s="3"/>
      <c r="AX145" s="3"/>
      <c r="AY145" s="3"/>
      <c r="AZ145" s="3"/>
      <c r="BA145" s="3"/>
      <c r="BB145" s="3"/>
      <c r="BC145" s="3"/>
      <c r="BD145" s="9"/>
      <c r="BE145" s="3"/>
      <c r="BF145" s="3"/>
      <c r="BG145" s="3"/>
      <c r="BH145" s="3"/>
      <c r="BI145" s="3"/>
      <c r="BJ145" s="3"/>
      <c r="BK145" s="3"/>
      <c r="BL145" s="3"/>
      <c r="BM145" s="3"/>
      <c r="BN145" s="3"/>
      <c r="BO145" s="3"/>
      <c r="BP145" s="6"/>
      <c r="BQ145" s="3"/>
      <c r="BR145" s="3"/>
      <c r="BS145" s="3"/>
      <c r="BT145" s="3"/>
    </row>
    <row r="146" spans="1:72" ht="22.5" customHeight="1" x14ac:dyDescent="0.25">
      <c r="A146" s="3">
        <v>145</v>
      </c>
      <c r="B146" s="4" t="s">
        <v>1075</v>
      </c>
      <c r="D146" s="15" t="s">
        <v>1558</v>
      </c>
      <c r="E146" s="4" t="s">
        <v>1559</v>
      </c>
      <c r="F146" s="4"/>
      <c r="G146" s="4" t="s">
        <v>1560</v>
      </c>
      <c r="H146" s="4" t="s">
        <v>1561</v>
      </c>
      <c r="I146" s="4" t="s">
        <v>1562</v>
      </c>
      <c r="K146" s="4" t="s">
        <v>1563</v>
      </c>
      <c r="L146" s="4" t="s">
        <v>1564</v>
      </c>
      <c r="M146" s="4"/>
      <c r="S146" s="15" t="s">
        <v>406</v>
      </c>
      <c r="T146" s="15" t="s">
        <v>84</v>
      </c>
      <c r="V146" s="14"/>
      <c r="W146" s="15"/>
      <c r="X146" s="4"/>
      <c r="Y146" s="4"/>
      <c r="Z146" s="6"/>
      <c r="AA146" s="3"/>
      <c r="AB146" s="7"/>
      <c r="AC146" s="7"/>
      <c r="AD146" s="6"/>
      <c r="AE146" s="6"/>
      <c r="AF146" s="6"/>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9"/>
      <c r="BE146" s="3"/>
      <c r="BF146" s="3"/>
      <c r="BG146" s="3"/>
      <c r="BH146" s="3"/>
      <c r="BI146" s="3"/>
      <c r="BJ146" s="3"/>
      <c r="BK146" s="3"/>
      <c r="BL146" s="3"/>
      <c r="BM146" s="3"/>
      <c r="BN146" s="3"/>
      <c r="BO146" s="3"/>
      <c r="BP146" s="6"/>
      <c r="BQ146" s="3"/>
      <c r="BR146" s="3"/>
      <c r="BS146" s="3"/>
      <c r="BT146" s="3"/>
    </row>
    <row r="147" spans="1:72" ht="22.5" customHeight="1" x14ac:dyDescent="0.25">
      <c r="A147" s="3">
        <v>146</v>
      </c>
      <c r="B147" s="4" t="s">
        <v>1075</v>
      </c>
      <c r="D147" s="15" t="s">
        <v>1558</v>
      </c>
      <c r="E147" s="4" t="s">
        <v>1559</v>
      </c>
      <c r="F147" s="4"/>
      <c r="G147" s="4" t="s">
        <v>1565</v>
      </c>
      <c r="H147" s="4" t="s">
        <v>1566</v>
      </c>
      <c r="I147" s="4" t="s">
        <v>1567</v>
      </c>
      <c r="K147" s="4" t="s">
        <v>1568</v>
      </c>
      <c r="L147" s="4" t="s">
        <v>1569</v>
      </c>
      <c r="M147" s="4"/>
      <c r="S147" s="15" t="s">
        <v>406</v>
      </c>
      <c r="T147" s="15" t="s">
        <v>84</v>
      </c>
      <c r="V147" s="14"/>
      <c r="W147" s="15"/>
      <c r="X147" s="4"/>
      <c r="Y147" s="4"/>
      <c r="Z147" s="6"/>
      <c r="AA147" s="3"/>
      <c r="AB147" s="7"/>
      <c r="AC147" s="7"/>
      <c r="AD147" s="6"/>
      <c r="AE147" s="6"/>
      <c r="AF147" s="6"/>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9"/>
      <c r="BE147" s="3"/>
      <c r="BF147" s="3"/>
      <c r="BG147" s="3"/>
      <c r="BH147" s="3"/>
      <c r="BI147" s="3"/>
      <c r="BJ147" s="3"/>
      <c r="BK147" s="3"/>
      <c r="BL147" s="3"/>
      <c r="BM147" s="3"/>
      <c r="BN147" s="3"/>
      <c r="BO147" s="3"/>
      <c r="BP147" s="6"/>
      <c r="BQ147" s="3"/>
      <c r="BR147" s="3"/>
      <c r="BS147" s="3"/>
      <c r="BT147" s="3"/>
    </row>
    <row r="148" spans="1:72" ht="22.5" customHeight="1" x14ac:dyDescent="0.25">
      <c r="A148" s="3">
        <v>147</v>
      </c>
      <c r="B148" s="4" t="s">
        <v>1075</v>
      </c>
      <c r="D148" s="15" t="s">
        <v>1558</v>
      </c>
      <c r="E148" s="4" t="s">
        <v>1559</v>
      </c>
      <c r="F148" s="4"/>
      <c r="G148" s="4" t="s">
        <v>1570</v>
      </c>
      <c r="H148" s="4" t="s">
        <v>1571</v>
      </c>
      <c r="I148" s="4" t="s">
        <v>1572</v>
      </c>
      <c r="K148" s="4" t="s">
        <v>1573</v>
      </c>
      <c r="L148" s="4"/>
      <c r="M148" s="4"/>
      <c r="S148" s="15" t="s">
        <v>406</v>
      </c>
      <c r="T148" s="15" t="s">
        <v>84</v>
      </c>
      <c r="V148" s="14"/>
      <c r="W148" s="15"/>
      <c r="X148" s="4"/>
      <c r="Y148" s="4"/>
      <c r="Z148" s="6"/>
      <c r="AA148" s="3"/>
      <c r="AB148" s="7"/>
      <c r="AC148" s="7"/>
      <c r="AD148" s="6"/>
      <c r="AE148" s="6"/>
      <c r="AF148" s="6"/>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9"/>
      <c r="BE148" s="3"/>
      <c r="BF148" s="3"/>
      <c r="BG148" s="3"/>
      <c r="BH148" s="3"/>
      <c r="BI148" s="3"/>
      <c r="BJ148" s="3"/>
      <c r="BK148" s="3"/>
      <c r="BL148" s="3"/>
      <c r="BM148" s="3"/>
      <c r="BN148" s="3"/>
      <c r="BO148" s="3"/>
      <c r="BP148" s="6"/>
      <c r="BQ148" s="3"/>
      <c r="BR148" s="3"/>
      <c r="BS148" s="3"/>
      <c r="BT148" s="3"/>
    </row>
    <row r="149" spans="1:72" ht="22.5" customHeight="1" x14ac:dyDescent="0.25">
      <c r="A149" s="3">
        <v>148</v>
      </c>
      <c r="B149" s="4" t="s">
        <v>1075</v>
      </c>
      <c r="D149" s="15" t="s">
        <v>1558</v>
      </c>
      <c r="E149" s="4" t="s">
        <v>1559</v>
      </c>
      <c r="F149" s="4"/>
      <c r="G149" s="4" t="s">
        <v>1574</v>
      </c>
      <c r="H149" s="4" t="s">
        <v>1575</v>
      </c>
      <c r="I149" s="4" t="s">
        <v>1576</v>
      </c>
      <c r="K149" s="4" t="s">
        <v>1577</v>
      </c>
      <c r="L149" s="4"/>
      <c r="M149" s="4"/>
      <c r="S149" s="15" t="s">
        <v>406</v>
      </c>
      <c r="T149" s="15" t="s">
        <v>84</v>
      </c>
      <c r="V149" s="14"/>
      <c r="W149" s="15"/>
      <c r="X149" s="4"/>
      <c r="Y149" s="4"/>
      <c r="Z149" s="6"/>
      <c r="AA149" s="3"/>
      <c r="AB149" s="7"/>
      <c r="AC149" s="7"/>
      <c r="AD149" s="6"/>
      <c r="AE149" s="6"/>
      <c r="AF149" s="6"/>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9"/>
      <c r="BE149" s="3"/>
      <c r="BF149" s="3"/>
      <c r="BG149" s="3"/>
      <c r="BH149" s="3"/>
      <c r="BI149" s="3"/>
      <c r="BJ149" s="3"/>
      <c r="BK149" s="3"/>
      <c r="BL149" s="3"/>
      <c r="BM149" s="3"/>
      <c r="BN149" s="3"/>
      <c r="BO149" s="3"/>
      <c r="BP149" s="6"/>
      <c r="BQ149" s="3"/>
      <c r="BR149" s="3"/>
      <c r="BS149" s="3"/>
      <c r="BT149" s="3"/>
    </row>
    <row r="150" spans="1:72" ht="22.5" customHeight="1" x14ac:dyDescent="0.25">
      <c r="A150" s="3">
        <v>149</v>
      </c>
      <c r="B150" s="4" t="s">
        <v>1075</v>
      </c>
      <c r="D150" s="15" t="s">
        <v>1558</v>
      </c>
      <c r="E150" s="4" t="s">
        <v>1559</v>
      </c>
      <c r="F150" s="4"/>
      <c r="G150" s="4" t="s">
        <v>1578</v>
      </c>
      <c r="H150" s="4" t="s">
        <v>1579</v>
      </c>
      <c r="I150" s="4" t="s">
        <v>1580</v>
      </c>
      <c r="K150" s="4" t="s">
        <v>1577</v>
      </c>
      <c r="L150" s="4"/>
      <c r="M150" s="4"/>
      <c r="S150" s="15" t="s">
        <v>406</v>
      </c>
      <c r="T150" s="15" t="s">
        <v>84</v>
      </c>
      <c r="V150" s="14"/>
      <c r="W150" s="15"/>
      <c r="X150" s="4"/>
      <c r="Y150" s="4"/>
      <c r="Z150" s="6"/>
      <c r="AA150" s="3"/>
      <c r="AB150" s="7"/>
      <c r="AC150" s="7"/>
      <c r="AD150" s="6"/>
      <c r="AE150" s="6"/>
      <c r="AF150" s="6"/>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9"/>
      <c r="BE150" s="3"/>
      <c r="BF150" s="3"/>
      <c r="BG150" s="3"/>
      <c r="BH150" s="3"/>
      <c r="BI150" s="3"/>
      <c r="BJ150" s="3"/>
      <c r="BK150" s="3"/>
      <c r="BL150" s="3"/>
      <c r="BM150" s="3"/>
      <c r="BN150" s="3"/>
      <c r="BO150" s="3"/>
      <c r="BP150" s="6"/>
      <c r="BQ150" s="3"/>
      <c r="BR150" s="3"/>
      <c r="BS150" s="3"/>
      <c r="BT150" s="3"/>
    </row>
    <row r="151" spans="1:72" ht="22.5" customHeight="1" x14ac:dyDescent="0.25">
      <c r="A151" s="3">
        <v>150</v>
      </c>
      <c r="B151" s="4" t="s">
        <v>1075</v>
      </c>
      <c r="D151" s="15" t="s">
        <v>1558</v>
      </c>
      <c r="E151" s="4" t="s">
        <v>1559</v>
      </c>
      <c r="F151" s="4"/>
      <c r="G151" s="4" t="s">
        <v>1581</v>
      </c>
      <c r="H151" s="4" t="s">
        <v>1582</v>
      </c>
      <c r="I151" s="4" t="s">
        <v>1583</v>
      </c>
      <c r="K151" s="4" t="s">
        <v>1584</v>
      </c>
      <c r="L151" s="4" t="s">
        <v>1585</v>
      </c>
      <c r="M151" s="4" t="s">
        <v>1586</v>
      </c>
      <c r="S151" s="15" t="s">
        <v>406</v>
      </c>
      <c r="T151" s="15" t="s">
        <v>84</v>
      </c>
      <c r="V151" s="14"/>
      <c r="W151" s="15"/>
      <c r="X151" s="4"/>
      <c r="Y151" s="4"/>
      <c r="Z151" s="6"/>
      <c r="AA151" s="3"/>
      <c r="AB151" s="7"/>
      <c r="AC151" s="7"/>
      <c r="AD151" s="6"/>
      <c r="AE151" s="6"/>
      <c r="AF151" s="6"/>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9"/>
      <c r="BE151" s="3"/>
      <c r="BF151" s="3"/>
      <c r="BG151" s="3"/>
      <c r="BH151" s="3"/>
      <c r="BI151" s="3"/>
      <c r="BJ151" s="3"/>
      <c r="BK151" s="3"/>
      <c r="BL151" s="3"/>
      <c r="BM151" s="3"/>
      <c r="BN151" s="3"/>
      <c r="BO151" s="3"/>
      <c r="BP151" s="6"/>
      <c r="BQ151" s="3"/>
      <c r="BR151" s="3"/>
      <c r="BS151" s="3"/>
      <c r="BT151" s="3"/>
    </row>
    <row r="152" spans="1:72" ht="100.5" customHeight="1" x14ac:dyDescent="0.25">
      <c r="A152" s="3">
        <v>151</v>
      </c>
      <c r="B152" s="4" t="s">
        <v>1075</v>
      </c>
      <c r="C152" s="4" t="s">
        <v>1076</v>
      </c>
      <c r="D152" s="4" t="s">
        <v>1558</v>
      </c>
      <c r="E152" s="4" t="s">
        <v>1027</v>
      </c>
      <c r="F152" s="4"/>
      <c r="G152" s="4" t="s">
        <v>1578</v>
      </c>
      <c r="H152" s="4" t="s">
        <v>1587</v>
      </c>
      <c r="I152" s="4" t="s">
        <v>1588</v>
      </c>
      <c r="J152" s="4" t="s">
        <v>1589</v>
      </c>
      <c r="K152" s="4" t="s">
        <v>1590</v>
      </c>
      <c r="L152" s="4" t="s">
        <v>1591</v>
      </c>
      <c r="M152" s="4" t="s">
        <v>1592</v>
      </c>
      <c r="S152" s="15" t="s">
        <v>406</v>
      </c>
      <c r="T152" s="15" t="s">
        <v>84</v>
      </c>
      <c r="U152" s="4" t="s">
        <v>1593</v>
      </c>
      <c r="V152" s="14"/>
      <c r="W152" s="15"/>
      <c r="X152" s="4" t="s">
        <v>219</v>
      </c>
      <c r="Y152" s="4">
        <v>5</v>
      </c>
      <c r="Z152" s="6">
        <v>5</v>
      </c>
      <c r="AA152" s="3"/>
      <c r="AB152" s="7"/>
      <c r="AC152" s="7"/>
      <c r="AD152" s="6"/>
      <c r="AE152" s="6"/>
      <c r="AF152" s="6">
        <f>Y152/Z152</f>
        <v>1</v>
      </c>
      <c r="AG152" s="3" t="s">
        <v>1347</v>
      </c>
      <c r="AH152" s="3" t="s">
        <v>1347</v>
      </c>
      <c r="AI152" s="3" t="s">
        <v>1347</v>
      </c>
      <c r="AJ152" s="3" t="s">
        <v>1348</v>
      </c>
      <c r="AK152" s="3">
        <v>14</v>
      </c>
      <c r="AL152" s="3">
        <v>14</v>
      </c>
      <c r="AM152" s="3"/>
      <c r="AN152" s="3"/>
      <c r="AO152" s="3"/>
      <c r="AP152" s="3"/>
      <c r="AQ152" s="3"/>
      <c r="AR152" s="3">
        <f>AK152/AL152</f>
        <v>1</v>
      </c>
      <c r="AS152" s="3" t="s">
        <v>1594</v>
      </c>
      <c r="AT152" s="3" t="s">
        <v>1595</v>
      </c>
      <c r="AU152" s="3"/>
      <c r="AV152" s="3"/>
      <c r="AW152" s="3">
        <v>24</v>
      </c>
      <c r="AX152" s="3">
        <v>24</v>
      </c>
      <c r="AY152" s="3"/>
      <c r="AZ152" s="3"/>
      <c r="BA152" s="3"/>
      <c r="BB152" s="3"/>
      <c r="BC152" s="3"/>
      <c r="BD152" s="9">
        <f t="shared" ref="BD152:BD153" si="43">AW152/AX152</f>
        <v>1</v>
      </c>
      <c r="BE152" s="3" t="s">
        <v>1596</v>
      </c>
      <c r="BF152" s="3" t="s">
        <v>1597</v>
      </c>
      <c r="BG152" s="3"/>
      <c r="BH152" s="3"/>
      <c r="BI152" s="3"/>
      <c r="BJ152" s="3"/>
      <c r="BK152" s="3"/>
      <c r="BL152" s="3"/>
      <c r="BM152" s="3"/>
      <c r="BN152" s="3"/>
      <c r="BO152" s="3"/>
      <c r="BP152" s="6"/>
      <c r="BQ152" s="3"/>
      <c r="BR152" s="3"/>
      <c r="BS152" s="3"/>
      <c r="BT152" s="3"/>
    </row>
    <row r="153" spans="1:72" ht="100.5" customHeight="1" x14ac:dyDescent="0.25">
      <c r="A153" s="3"/>
      <c r="B153" s="4" t="s">
        <v>1075</v>
      </c>
      <c r="C153" s="4" t="s">
        <v>1076</v>
      </c>
      <c r="D153" s="4" t="s">
        <v>1318</v>
      </c>
      <c r="E153" s="4" t="s">
        <v>1027</v>
      </c>
      <c r="F153" s="4"/>
      <c r="G153" s="4" t="s">
        <v>1598</v>
      </c>
      <c r="H153" s="4" t="s">
        <v>1599</v>
      </c>
      <c r="I153" s="4" t="s">
        <v>1600</v>
      </c>
      <c r="J153" s="4" t="s">
        <v>1601</v>
      </c>
      <c r="K153" s="4" t="s">
        <v>924</v>
      </c>
      <c r="L153" s="4" t="s">
        <v>1602</v>
      </c>
      <c r="M153" s="4" t="s">
        <v>1603</v>
      </c>
      <c r="S153" s="15" t="s">
        <v>139</v>
      </c>
      <c r="T153" s="15" t="s">
        <v>84</v>
      </c>
      <c r="U153" s="4"/>
      <c r="V153" s="14"/>
      <c r="W153" s="15"/>
      <c r="X153" s="4" t="s">
        <v>501</v>
      </c>
      <c r="Y153" s="4">
        <v>0</v>
      </c>
      <c r="Z153" s="6">
        <v>0</v>
      </c>
      <c r="AA153" s="3"/>
      <c r="AB153" s="7"/>
      <c r="AC153" s="7"/>
      <c r="AD153" s="6"/>
      <c r="AF153" s="6">
        <f t="shared" ref="AF153:AF158" si="44">IFERROR(Y153+Z153,"")</f>
        <v>0</v>
      </c>
      <c r="AG153" s="3"/>
      <c r="AH153" s="3"/>
      <c r="AI153" s="3" t="s">
        <v>1604</v>
      </c>
      <c r="AJ153" s="3"/>
      <c r="AV153" s="3" t="s">
        <v>1604</v>
      </c>
      <c r="AW153" s="3">
        <v>98</v>
      </c>
      <c r="AX153" s="3">
        <v>105</v>
      </c>
      <c r="AY153" s="3"/>
      <c r="AZ153" s="3"/>
      <c r="BA153" s="3"/>
      <c r="BB153" s="3"/>
      <c r="BC153" s="3"/>
      <c r="BD153" s="9">
        <f t="shared" si="43"/>
        <v>0.93333333333333335</v>
      </c>
      <c r="BE153" s="3" t="s">
        <v>1605</v>
      </c>
      <c r="BF153" s="3" t="s">
        <v>1606</v>
      </c>
      <c r="BG153" s="3" t="s">
        <v>1607</v>
      </c>
      <c r="BH153" s="3"/>
      <c r="BI153" s="3"/>
      <c r="BJ153" s="3"/>
      <c r="BK153" s="3"/>
      <c r="BL153" s="3"/>
      <c r="BM153" s="3"/>
      <c r="BN153" s="3"/>
      <c r="BO153" s="3"/>
      <c r="BP153" s="6"/>
      <c r="BQ153" s="3"/>
      <c r="BR153" s="3"/>
      <c r="BS153" s="3"/>
      <c r="BT153" s="3"/>
    </row>
    <row r="154" spans="1:72" ht="100.5" customHeight="1" x14ac:dyDescent="0.25">
      <c r="A154" s="3"/>
      <c r="B154" s="4" t="s">
        <v>1075</v>
      </c>
      <c r="C154" s="4" t="s">
        <v>1076</v>
      </c>
      <c r="D154" s="4" t="s">
        <v>1318</v>
      </c>
      <c r="E154" s="4" t="s">
        <v>1027</v>
      </c>
      <c r="F154" s="4"/>
      <c r="G154" s="4" t="s">
        <v>1608</v>
      </c>
      <c r="H154" s="4" t="s">
        <v>1609</v>
      </c>
      <c r="I154" s="15" t="s">
        <v>1610</v>
      </c>
      <c r="J154" s="4" t="s">
        <v>1611</v>
      </c>
      <c r="K154" s="4" t="s">
        <v>215</v>
      </c>
      <c r="L154" s="4" t="s">
        <v>1612</v>
      </c>
      <c r="M154" s="4" t="s">
        <v>1613</v>
      </c>
      <c r="S154" s="15" t="s">
        <v>534</v>
      </c>
      <c r="T154" s="15" t="s">
        <v>84</v>
      </c>
      <c r="U154" s="4"/>
      <c r="V154" s="14"/>
      <c r="W154" s="15"/>
      <c r="X154" s="4" t="s">
        <v>501</v>
      </c>
      <c r="Y154" s="4"/>
      <c r="Z154" s="6"/>
      <c r="AA154" s="3"/>
      <c r="AB154" s="7"/>
      <c r="AC154" s="7"/>
      <c r="AD154" s="6"/>
      <c r="AF154" s="6">
        <f t="shared" si="44"/>
        <v>0</v>
      </c>
      <c r="AG154" s="3"/>
      <c r="AH154" s="3"/>
      <c r="AI154" s="3"/>
      <c r="AJ154" s="3" t="s">
        <v>1614</v>
      </c>
      <c r="AR154" s="3" t="str">
        <f t="shared" ref="AR154:AR159" si="45">IFERROR(AK154/AL154,"0")</f>
        <v>0</v>
      </c>
      <c r="AV154" s="3" t="s">
        <v>1614</v>
      </c>
      <c r="AW154" s="3"/>
      <c r="AX154" s="3"/>
      <c r="AY154" s="3"/>
      <c r="AZ154" s="3"/>
      <c r="BA154" s="3"/>
      <c r="BB154" s="3"/>
      <c r="BC154" s="3"/>
      <c r="BD154" s="9" t="str">
        <f t="shared" ref="BD154:BD159" si="46">IFERROR(AW154/AX154,"0")</f>
        <v>0</v>
      </c>
      <c r="BE154" s="3"/>
      <c r="BF154" s="3"/>
      <c r="BG154" s="3"/>
      <c r="BH154" s="3" t="s">
        <v>1614</v>
      </c>
      <c r="BI154" s="3"/>
      <c r="BJ154" s="3"/>
      <c r="BK154" s="3"/>
      <c r="BL154" s="3"/>
      <c r="BM154" s="3"/>
      <c r="BN154" s="3"/>
      <c r="BO154" s="3"/>
      <c r="BP154" s="6"/>
      <c r="BQ154" s="3"/>
      <c r="BR154" s="3"/>
      <c r="BS154" s="3"/>
      <c r="BT154" s="3"/>
    </row>
    <row r="155" spans="1:72" ht="100.5" customHeight="1" x14ac:dyDescent="0.25">
      <c r="A155" s="3"/>
      <c r="B155" s="4" t="s">
        <v>1075</v>
      </c>
      <c r="C155" s="4" t="s">
        <v>1076</v>
      </c>
      <c r="D155" s="4" t="s">
        <v>1318</v>
      </c>
      <c r="E155" s="4" t="s">
        <v>1027</v>
      </c>
      <c r="F155" s="4"/>
      <c r="G155" s="4" t="s">
        <v>1615</v>
      </c>
      <c r="H155" s="4" t="s">
        <v>615</v>
      </c>
      <c r="I155" s="15" t="s">
        <v>1616</v>
      </c>
      <c r="J155" s="4" t="s">
        <v>1617</v>
      </c>
      <c r="K155" s="4" t="s">
        <v>215</v>
      </c>
      <c r="L155" s="4" t="s">
        <v>1618</v>
      </c>
      <c r="M155" s="4" t="s">
        <v>1619</v>
      </c>
      <c r="S155" s="15" t="s">
        <v>534</v>
      </c>
      <c r="T155" s="15" t="s">
        <v>84</v>
      </c>
      <c r="U155" s="4"/>
      <c r="V155" s="14"/>
      <c r="W155" s="15"/>
      <c r="X155" s="4" t="s">
        <v>501</v>
      </c>
      <c r="Y155" s="4"/>
      <c r="Z155" s="6"/>
      <c r="AA155" s="3"/>
      <c r="AB155" s="7"/>
      <c r="AC155" s="7"/>
      <c r="AD155" s="6"/>
      <c r="AF155" s="6">
        <f t="shared" si="44"/>
        <v>0</v>
      </c>
      <c r="AG155" s="3"/>
      <c r="AH155" s="3"/>
      <c r="AI155" s="3"/>
      <c r="AJ155" s="3" t="s">
        <v>1614</v>
      </c>
      <c r="AR155" s="3" t="str">
        <f t="shared" si="45"/>
        <v>0</v>
      </c>
      <c r="AV155" s="3" t="s">
        <v>1614</v>
      </c>
      <c r="AW155" s="3"/>
      <c r="AX155" s="3"/>
      <c r="AY155" s="3"/>
      <c r="AZ155" s="3"/>
      <c r="BA155" s="3"/>
      <c r="BB155" s="3"/>
      <c r="BC155" s="3"/>
      <c r="BD155" s="9" t="str">
        <f t="shared" si="46"/>
        <v>0</v>
      </c>
      <c r="BE155" s="3"/>
      <c r="BF155" s="3"/>
      <c r="BG155" s="3"/>
      <c r="BH155" s="3" t="s">
        <v>1614</v>
      </c>
      <c r="BI155" s="3"/>
      <c r="BJ155" s="3"/>
      <c r="BK155" s="3"/>
      <c r="BL155" s="3"/>
      <c r="BM155" s="3"/>
      <c r="BN155" s="3"/>
      <c r="BO155" s="3"/>
      <c r="BP155" s="6"/>
      <c r="BQ155" s="3"/>
      <c r="BR155" s="3"/>
      <c r="BS155" s="3"/>
      <c r="BT155" s="3"/>
    </row>
    <row r="156" spans="1:72" ht="100.5" customHeight="1" x14ac:dyDescent="0.25">
      <c r="A156" s="3"/>
      <c r="B156" s="4" t="s">
        <v>1075</v>
      </c>
      <c r="C156" s="4" t="s">
        <v>1076</v>
      </c>
      <c r="D156" s="4" t="s">
        <v>1318</v>
      </c>
      <c r="E156" s="4" t="s">
        <v>1027</v>
      </c>
      <c r="F156" s="4"/>
      <c r="G156" s="4" t="s">
        <v>1547</v>
      </c>
      <c r="H156" s="4" t="s">
        <v>1620</v>
      </c>
      <c r="I156" s="15" t="s">
        <v>1621</v>
      </c>
      <c r="J156" s="4" t="s">
        <v>1622</v>
      </c>
      <c r="K156" s="4" t="s">
        <v>215</v>
      </c>
      <c r="L156" s="4" t="s">
        <v>1623</v>
      </c>
      <c r="M156" s="4" t="s">
        <v>1624</v>
      </c>
      <c r="S156" s="15" t="s">
        <v>139</v>
      </c>
      <c r="T156" s="15" t="s">
        <v>84</v>
      </c>
      <c r="U156" s="4"/>
      <c r="V156" s="14"/>
      <c r="W156" s="15"/>
      <c r="X156" s="4" t="s">
        <v>501</v>
      </c>
      <c r="Y156" s="4">
        <v>0</v>
      </c>
      <c r="Z156" s="6">
        <v>0</v>
      </c>
      <c r="AA156" s="3"/>
      <c r="AB156" s="7"/>
      <c r="AC156" s="7"/>
      <c r="AD156" s="6"/>
      <c r="AF156" s="6">
        <f t="shared" si="44"/>
        <v>0</v>
      </c>
      <c r="AG156" s="3"/>
      <c r="AH156" s="3"/>
      <c r="AI156" s="3"/>
      <c r="AJ156" s="3" t="s">
        <v>1625</v>
      </c>
      <c r="AR156" s="3" t="str">
        <f t="shared" si="45"/>
        <v>0</v>
      </c>
      <c r="AV156" s="3" t="s">
        <v>1625</v>
      </c>
      <c r="AW156" s="3">
        <v>0</v>
      </c>
      <c r="AX156" s="3">
        <v>0</v>
      </c>
      <c r="AY156" s="3"/>
      <c r="AZ156" s="3"/>
      <c r="BA156" s="3"/>
      <c r="BB156" s="3"/>
      <c r="BC156" s="3"/>
      <c r="BD156" s="9" t="str">
        <f t="shared" si="46"/>
        <v>0</v>
      </c>
      <c r="BE156" s="3" t="s">
        <v>1626</v>
      </c>
      <c r="BF156" s="3" t="s">
        <v>1627</v>
      </c>
      <c r="BG156" s="3"/>
      <c r="BH156" s="3" t="s">
        <v>1628</v>
      </c>
      <c r="BI156" s="3"/>
      <c r="BJ156" s="3"/>
      <c r="BK156" s="3"/>
      <c r="BL156" s="3"/>
      <c r="BM156" s="3"/>
      <c r="BN156" s="3"/>
      <c r="BO156" s="3"/>
      <c r="BP156" s="6"/>
      <c r="BQ156" s="3"/>
      <c r="BR156" s="3"/>
      <c r="BS156" s="3"/>
      <c r="BT156" s="3"/>
    </row>
    <row r="157" spans="1:72" ht="100.5" customHeight="1" x14ac:dyDescent="0.25">
      <c r="A157" s="3"/>
      <c r="B157" s="4" t="s">
        <v>1075</v>
      </c>
      <c r="C157" s="4" t="s">
        <v>1076</v>
      </c>
      <c r="D157" s="4" t="s">
        <v>1318</v>
      </c>
      <c r="E157" s="4" t="s">
        <v>1027</v>
      </c>
      <c r="F157" s="4"/>
      <c r="G157" s="4" t="s">
        <v>1629</v>
      </c>
      <c r="H157" s="4" t="s">
        <v>1630</v>
      </c>
      <c r="I157" s="15" t="s">
        <v>1631</v>
      </c>
      <c r="J157" s="4" t="s">
        <v>1387</v>
      </c>
      <c r="K157" s="4" t="s">
        <v>215</v>
      </c>
      <c r="L157" s="4" t="s">
        <v>1632</v>
      </c>
      <c r="M157" s="4" t="s">
        <v>1633</v>
      </c>
      <c r="S157" s="15" t="s">
        <v>534</v>
      </c>
      <c r="T157" s="15" t="s">
        <v>84</v>
      </c>
      <c r="U157" s="4"/>
      <c r="V157" s="14"/>
      <c r="W157" s="15"/>
      <c r="X157" s="4" t="s">
        <v>501</v>
      </c>
      <c r="Y157" s="4"/>
      <c r="Z157" s="6"/>
      <c r="AA157" s="3"/>
      <c r="AB157" s="7"/>
      <c r="AC157" s="7"/>
      <c r="AD157" s="6"/>
      <c r="AF157" s="6">
        <f t="shared" si="44"/>
        <v>0</v>
      </c>
      <c r="AG157" s="3"/>
      <c r="AH157" s="3"/>
      <c r="AI157" s="3"/>
      <c r="AJ157" s="3" t="s">
        <v>1634</v>
      </c>
      <c r="AR157" s="3" t="str">
        <f t="shared" si="45"/>
        <v>0</v>
      </c>
      <c r="AV157" s="3" t="s">
        <v>1634</v>
      </c>
      <c r="AW157" s="3"/>
      <c r="AX157" s="3"/>
      <c r="AY157" s="3"/>
      <c r="AZ157" s="3"/>
      <c r="BA157" s="3"/>
      <c r="BB157" s="3"/>
      <c r="BC157" s="3"/>
      <c r="BD157" s="9" t="str">
        <f t="shared" si="46"/>
        <v>0</v>
      </c>
      <c r="BE157" s="3"/>
      <c r="BF157" s="3"/>
      <c r="BG157" s="3"/>
      <c r="BH157" s="3" t="s">
        <v>1634</v>
      </c>
      <c r="BI157" s="3"/>
      <c r="BJ157" s="3"/>
      <c r="BK157" s="3"/>
      <c r="BL157" s="3"/>
      <c r="BM157" s="3"/>
      <c r="BN157" s="3"/>
      <c r="BO157" s="3"/>
      <c r="BP157" s="6"/>
      <c r="BQ157" s="3"/>
      <c r="BR157" s="3"/>
      <c r="BS157" s="3"/>
      <c r="BT157" s="3"/>
    </row>
    <row r="158" spans="1:72" ht="100.5" customHeight="1" x14ac:dyDescent="0.25">
      <c r="A158" s="3"/>
      <c r="B158" s="4" t="s">
        <v>1075</v>
      </c>
      <c r="C158" s="4" t="s">
        <v>1076</v>
      </c>
      <c r="D158" s="4" t="s">
        <v>1318</v>
      </c>
      <c r="E158" s="4" t="s">
        <v>1027</v>
      </c>
      <c r="F158" s="4"/>
      <c r="G158" s="4" t="s">
        <v>1635</v>
      </c>
      <c r="H158" s="4" t="s">
        <v>1636</v>
      </c>
      <c r="I158" s="15" t="s">
        <v>1637</v>
      </c>
      <c r="J158" s="4" t="s">
        <v>1387</v>
      </c>
      <c r="K158" s="4" t="s">
        <v>215</v>
      </c>
      <c r="L158" s="4" t="s">
        <v>1638</v>
      </c>
      <c r="M158" s="4" t="s">
        <v>1639</v>
      </c>
      <c r="S158" s="15" t="s">
        <v>534</v>
      </c>
      <c r="T158" s="15" t="s">
        <v>1304</v>
      </c>
      <c r="U158" s="4"/>
      <c r="V158" s="14"/>
      <c r="W158" s="15"/>
      <c r="X158" s="4" t="s">
        <v>501</v>
      </c>
      <c r="Y158" s="4"/>
      <c r="Z158" s="6"/>
      <c r="AA158" s="3"/>
      <c r="AB158" s="7"/>
      <c r="AC158" s="7"/>
      <c r="AD158" s="6"/>
      <c r="AF158" s="6">
        <f t="shared" si="44"/>
        <v>0</v>
      </c>
      <c r="AG158" s="3"/>
      <c r="AH158" s="3"/>
      <c r="AI158" s="3"/>
      <c r="AJ158" s="3" t="s">
        <v>1634</v>
      </c>
      <c r="AR158" s="3" t="str">
        <f t="shared" si="45"/>
        <v>0</v>
      </c>
      <c r="AV158" s="3" t="s">
        <v>1634</v>
      </c>
      <c r="AW158" s="3"/>
      <c r="AX158" s="3"/>
      <c r="AY158" s="3"/>
      <c r="AZ158" s="3"/>
      <c r="BA158" s="3"/>
      <c r="BB158" s="3"/>
      <c r="BC158" s="3"/>
      <c r="BD158" s="9" t="str">
        <f t="shared" si="46"/>
        <v>0</v>
      </c>
      <c r="BE158" s="3"/>
      <c r="BF158" s="3"/>
      <c r="BG158" s="3"/>
      <c r="BH158" s="3" t="s">
        <v>1634</v>
      </c>
      <c r="BI158" s="3"/>
      <c r="BJ158" s="3"/>
      <c r="BK158" s="3"/>
      <c r="BL158" s="3"/>
      <c r="BM158" s="3"/>
      <c r="BN158" s="3"/>
      <c r="BO158" s="3"/>
      <c r="BP158" s="6"/>
      <c r="BQ158" s="3"/>
      <c r="BR158" s="3"/>
      <c r="BS158" s="3"/>
      <c r="BT158" s="3"/>
    </row>
    <row r="159" spans="1:72" ht="100.5" customHeight="1" x14ac:dyDescent="0.25">
      <c r="A159" s="3"/>
      <c r="B159" s="4" t="s">
        <v>1075</v>
      </c>
      <c r="C159" s="4" t="s">
        <v>1076</v>
      </c>
      <c r="D159" s="4" t="s">
        <v>1318</v>
      </c>
      <c r="E159" s="4" t="s">
        <v>1027</v>
      </c>
      <c r="F159" s="4"/>
      <c r="G159" s="4" t="s">
        <v>1640</v>
      </c>
      <c r="H159" s="4" t="s">
        <v>1641</v>
      </c>
      <c r="I159" s="15" t="s">
        <v>1642</v>
      </c>
      <c r="J159" s="4" t="s">
        <v>1643</v>
      </c>
      <c r="K159" s="4" t="s">
        <v>215</v>
      </c>
      <c r="L159" s="4" t="s">
        <v>1644</v>
      </c>
      <c r="M159" s="4" t="s">
        <v>1645</v>
      </c>
      <c r="S159" s="15" t="s">
        <v>83</v>
      </c>
      <c r="T159" s="15" t="s">
        <v>84</v>
      </c>
      <c r="U159" s="4"/>
      <c r="V159" s="14"/>
      <c r="W159" s="15"/>
      <c r="X159" s="4" t="s">
        <v>501</v>
      </c>
      <c r="Y159" s="4">
        <v>76</v>
      </c>
      <c r="Z159" s="6">
        <v>80</v>
      </c>
      <c r="AA159" s="3"/>
      <c r="AB159" s="7"/>
      <c r="AC159" s="7"/>
      <c r="AD159" s="6"/>
      <c r="AF159" s="6">
        <f>IFERROR(Y159/Z159,"")</f>
        <v>0.95</v>
      </c>
      <c r="AG159" s="3" t="s">
        <v>1646</v>
      </c>
      <c r="AH159" s="3"/>
      <c r="AI159" s="3"/>
      <c r="AJ159" s="3"/>
      <c r="AK159" s="15">
        <v>59</v>
      </c>
      <c r="AL159" s="15">
        <v>65</v>
      </c>
      <c r="AR159" s="3">
        <f t="shared" si="45"/>
        <v>0.90769230769230769</v>
      </c>
      <c r="AS159" s="15" t="s">
        <v>1647</v>
      </c>
      <c r="AV159" s="3"/>
      <c r="AW159" s="3">
        <v>28</v>
      </c>
      <c r="AX159" s="3">
        <v>30</v>
      </c>
      <c r="AY159" s="3"/>
      <c r="AZ159" s="3"/>
      <c r="BA159" s="3"/>
      <c r="BB159" s="3"/>
      <c r="BC159" s="3"/>
      <c r="BD159" s="9">
        <f t="shared" si="46"/>
        <v>0.93333333333333335</v>
      </c>
      <c r="BE159" s="3" t="s">
        <v>1648</v>
      </c>
      <c r="BF159" s="3" t="s">
        <v>1649</v>
      </c>
      <c r="BG159" s="3"/>
      <c r="BH159" s="3"/>
      <c r="BI159" s="3"/>
      <c r="BJ159" s="3"/>
      <c r="BK159" s="3"/>
      <c r="BL159" s="3"/>
      <c r="BM159" s="3"/>
      <c r="BN159" s="3"/>
      <c r="BO159" s="3"/>
      <c r="BP159" s="6"/>
      <c r="BQ159" s="3"/>
      <c r="BR159" s="3"/>
      <c r="BS159" s="3"/>
      <c r="BT159" s="3"/>
    </row>
    <row r="160" spans="1:72" ht="22.5" customHeight="1" x14ac:dyDescent="0.25">
      <c r="A160" s="3">
        <v>152</v>
      </c>
      <c r="B160" s="4" t="s">
        <v>1075</v>
      </c>
      <c r="D160" s="15" t="s">
        <v>1558</v>
      </c>
      <c r="E160" s="4" t="s">
        <v>1559</v>
      </c>
      <c r="F160" s="4"/>
      <c r="G160" s="4" t="s">
        <v>1650</v>
      </c>
      <c r="H160" s="4" t="s">
        <v>1651</v>
      </c>
      <c r="I160" s="4" t="s">
        <v>1652</v>
      </c>
      <c r="K160" s="4"/>
      <c r="L160" s="4"/>
      <c r="M160" s="4"/>
      <c r="S160" s="15" t="s">
        <v>406</v>
      </c>
      <c r="T160" s="15" t="s">
        <v>84</v>
      </c>
      <c r="V160" s="14"/>
      <c r="W160" s="15"/>
      <c r="X160" s="4"/>
      <c r="Y160" s="4"/>
      <c r="Z160" s="6"/>
      <c r="AA160" s="3"/>
      <c r="AB160" s="7"/>
      <c r="AC160" s="7"/>
      <c r="AD160" s="6"/>
      <c r="AE160" s="6"/>
      <c r="AF160" s="6"/>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9"/>
      <c r="BE160" s="3"/>
      <c r="BF160" s="3"/>
      <c r="BG160" s="3"/>
      <c r="BH160" s="3"/>
      <c r="BI160" s="3"/>
      <c r="BJ160" s="3"/>
      <c r="BK160" s="3"/>
      <c r="BL160" s="3"/>
      <c r="BM160" s="3"/>
      <c r="BN160" s="3"/>
      <c r="BO160" s="3"/>
      <c r="BP160" s="6"/>
      <c r="BQ160" s="3"/>
      <c r="BR160" s="3"/>
      <c r="BS160" s="3"/>
      <c r="BT160" s="3"/>
    </row>
    <row r="161" spans="1:72" ht="22.5" customHeight="1" x14ac:dyDescent="0.25">
      <c r="A161" s="3">
        <v>153</v>
      </c>
      <c r="B161" s="4" t="s">
        <v>1075</v>
      </c>
      <c r="D161" s="15" t="s">
        <v>1558</v>
      </c>
      <c r="E161" s="4" t="s">
        <v>1559</v>
      </c>
      <c r="F161" s="4"/>
      <c r="G161" s="4" t="s">
        <v>1653</v>
      </c>
      <c r="H161" s="4" t="s">
        <v>1654</v>
      </c>
      <c r="I161" s="4" t="s">
        <v>1567</v>
      </c>
      <c r="K161" s="4" t="s">
        <v>1655</v>
      </c>
      <c r="L161" s="4" t="s">
        <v>1656</v>
      </c>
      <c r="M161" s="4" t="s">
        <v>1657</v>
      </c>
      <c r="S161" s="15" t="s">
        <v>406</v>
      </c>
      <c r="T161" s="15" t="s">
        <v>84</v>
      </c>
      <c r="V161" s="14"/>
      <c r="W161" s="15"/>
      <c r="X161" s="4"/>
      <c r="Y161" s="4"/>
      <c r="Z161" s="6"/>
      <c r="AA161" s="3"/>
      <c r="AB161" s="7"/>
      <c r="AC161" s="7"/>
      <c r="AD161" s="6"/>
      <c r="AE161" s="6"/>
      <c r="AF161" s="6"/>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9"/>
      <c r="BE161" s="3"/>
      <c r="BF161" s="3"/>
      <c r="BG161" s="3"/>
      <c r="BH161" s="3"/>
      <c r="BI161" s="3"/>
      <c r="BJ161" s="3"/>
      <c r="BK161" s="3"/>
      <c r="BL161" s="3"/>
      <c r="BM161" s="3"/>
      <c r="BN161" s="3"/>
      <c r="BO161" s="3"/>
      <c r="BP161" s="6"/>
      <c r="BQ161" s="3"/>
      <c r="BR161" s="3"/>
      <c r="BS161" s="3"/>
      <c r="BT161" s="3"/>
    </row>
    <row r="162" spans="1:72" ht="22.5" customHeight="1" x14ac:dyDescent="0.25">
      <c r="A162" s="3">
        <v>154</v>
      </c>
      <c r="B162" s="4" t="s">
        <v>1075</v>
      </c>
      <c r="D162" s="15" t="s">
        <v>1558</v>
      </c>
      <c r="E162" s="4" t="s">
        <v>1559</v>
      </c>
      <c r="F162" s="4"/>
      <c r="G162" s="4" t="s">
        <v>1658</v>
      </c>
      <c r="H162" s="4" t="s">
        <v>1659</v>
      </c>
      <c r="I162" s="4" t="s">
        <v>1660</v>
      </c>
      <c r="K162" s="4" t="s">
        <v>1661</v>
      </c>
      <c r="L162" s="4" t="s">
        <v>1662</v>
      </c>
      <c r="M162" s="4" t="s">
        <v>1663</v>
      </c>
      <c r="S162" s="15" t="s">
        <v>406</v>
      </c>
      <c r="T162" s="15" t="s">
        <v>84</v>
      </c>
      <c r="V162" s="14"/>
      <c r="W162" s="15"/>
      <c r="X162" s="4"/>
      <c r="Y162" s="4"/>
      <c r="Z162" s="6"/>
      <c r="AA162" s="3"/>
      <c r="AB162" s="7"/>
      <c r="AC162" s="7"/>
      <c r="AD162" s="6"/>
      <c r="AE162" s="6"/>
      <c r="AF162" s="6"/>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9"/>
      <c r="BE162" s="3"/>
      <c r="BF162" s="3"/>
      <c r="BG162" s="3"/>
      <c r="BH162" s="3"/>
      <c r="BI162" s="3"/>
      <c r="BJ162" s="3"/>
      <c r="BK162" s="3"/>
      <c r="BL162" s="3"/>
      <c r="BM162" s="3"/>
      <c r="BN162" s="3"/>
      <c r="BO162" s="3"/>
      <c r="BP162" s="6"/>
      <c r="BQ162" s="3"/>
      <c r="BR162" s="3"/>
      <c r="BS162" s="3"/>
      <c r="BT162" s="3"/>
    </row>
    <row r="163" spans="1:72" ht="22.5" customHeight="1" x14ac:dyDescent="0.25">
      <c r="A163" s="3">
        <v>155</v>
      </c>
      <c r="B163" s="4" t="s">
        <v>1075</v>
      </c>
      <c r="D163" s="15" t="s">
        <v>1558</v>
      </c>
      <c r="E163" s="4" t="s">
        <v>1559</v>
      </c>
      <c r="F163" s="4"/>
      <c r="G163" s="4" t="s">
        <v>1664</v>
      </c>
      <c r="H163" s="4" t="s">
        <v>1665</v>
      </c>
      <c r="I163" s="4" t="s">
        <v>1666</v>
      </c>
      <c r="K163" s="4" t="s">
        <v>1667</v>
      </c>
      <c r="L163" s="4" t="s">
        <v>1668</v>
      </c>
      <c r="M163" s="4" t="s">
        <v>1669</v>
      </c>
      <c r="S163" s="15" t="s">
        <v>406</v>
      </c>
      <c r="T163" s="15" t="s">
        <v>84</v>
      </c>
      <c r="V163" s="14"/>
      <c r="W163" s="15"/>
      <c r="X163" s="4"/>
      <c r="Y163" s="4"/>
      <c r="Z163" s="6"/>
      <c r="AA163" s="3"/>
      <c r="AB163" s="7"/>
      <c r="AC163" s="7"/>
      <c r="AD163" s="6"/>
      <c r="AE163" s="6"/>
      <c r="AF163" s="6"/>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9"/>
      <c r="BE163" s="3"/>
      <c r="BF163" s="3"/>
      <c r="BG163" s="3"/>
      <c r="BH163" s="3"/>
      <c r="BI163" s="3"/>
      <c r="BJ163" s="3"/>
      <c r="BK163" s="3"/>
      <c r="BL163" s="3"/>
      <c r="BM163" s="3"/>
      <c r="BN163" s="3"/>
      <c r="BO163" s="3"/>
      <c r="BP163" s="6"/>
      <c r="BQ163" s="3"/>
      <c r="BR163" s="3"/>
      <c r="BS163" s="3"/>
      <c r="BT163" s="3"/>
    </row>
    <row r="164" spans="1:72" ht="22.5" customHeight="1" x14ac:dyDescent="0.25">
      <c r="A164" s="3">
        <v>156</v>
      </c>
      <c r="B164" s="4" t="s">
        <v>1075</v>
      </c>
      <c r="D164" s="15" t="s">
        <v>1558</v>
      </c>
      <c r="E164" s="4" t="s">
        <v>1559</v>
      </c>
      <c r="F164" s="4"/>
      <c r="G164" s="4" t="s">
        <v>1670</v>
      </c>
      <c r="H164" s="4" t="s">
        <v>1671</v>
      </c>
      <c r="I164" s="4" t="s">
        <v>1672</v>
      </c>
      <c r="K164" s="4" t="s">
        <v>1673</v>
      </c>
      <c r="L164" s="4" t="s">
        <v>1674</v>
      </c>
      <c r="M164" s="4" t="s">
        <v>1675</v>
      </c>
      <c r="S164" s="15" t="s">
        <v>406</v>
      </c>
      <c r="T164" s="15" t="s">
        <v>84</v>
      </c>
      <c r="V164" s="14"/>
      <c r="W164" s="15"/>
      <c r="X164" s="4"/>
      <c r="Y164" s="4"/>
      <c r="Z164" s="6"/>
      <c r="AA164" s="3"/>
      <c r="AB164" s="7"/>
      <c r="AC164" s="7"/>
      <c r="AD164" s="6"/>
      <c r="AE164" s="6"/>
      <c r="AF164" s="6"/>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9"/>
      <c r="BE164" s="3"/>
      <c r="BF164" s="3"/>
      <c r="BG164" s="3"/>
      <c r="BH164" s="3"/>
      <c r="BI164" s="3"/>
      <c r="BJ164" s="3"/>
      <c r="BK164" s="3"/>
      <c r="BL164" s="3"/>
      <c r="BM164" s="3"/>
      <c r="BN164" s="3"/>
      <c r="BO164" s="3"/>
      <c r="BP164" s="6"/>
      <c r="BQ164" s="3"/>
      <c r="BR164" s="3"/>
      <c r="BS164" s="3"/>
      <c r="BT164" s="3"/>
    </row>
    <row r="165" spans="1:72" ht="22.5" customHeight="1" x14ac:dyDescent="0.25">
      <c r="A165" s="3">
        <v>157</v>
      </c>
      <c r="B165" s="4" t="s">
        <v>1075</v>
      </c>
      <c r="D165" s="15" t="s">
        <v>1676</v>
      </c>
      <c r="E165" s="4" t="s">
        <v>1677</v>
      </c>
      <c r="F165" s="4"/>
      <c r="G165" s="4" t="s">
        <v>1678</v>
      </c>
      <c r="H165" s="4" t="s">
        <v>1679</v>
      </c>
      <c r="I165" s="4" t="s">
        <v>1680</v>
      </c>
      <c r="K165" s="4" t="s">
        <v>1681</v>
      </c>
      <c r="L165" s="4" t="s">
        <v>1682</v>
      </c>
      <c r="M165" s="4" t="s">
        <v>1683</v>
      </c>
      <c r="S165" s="15" t="s">
        <v>406</v>
      </c>
      <c r="T165" s="15" t="s">
        <v>84</v>
      </c>
      <c r="V165" s="14"/>
      <c r="W165" s="15"/>
      <c r="X165" s="4"/>
      <c r="Y165" s="4"/>
      <c r="Z165" s="6"/>
      <c r="AA165" s="3"/>
      <c r="AB165" s="7"/>
      <c r="AC165" s="7"/>
      <c r="AD165" s="6"/>
      <c r="AE165" s="6"/>
      <c r="AF165" s="6"/>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9"/>
      <c r="BE165" s="3"/>
      <c r="BF165" s="3"/>
      <c r="BG165" s="3"/>
      <c r="BH165" s="3"/>
      <c r="BI165" s="3"/>
      <c r="BJ165" s="3"/>
      <c r="BK165" s="3"/>
      <c r="BL165" s="3"/>
      <c r="BM165" s="3"/>
      <c r="BN165" s="3"/>
      <c r="BO165" s="3"/>
      <c r="BP165" s="6"/>
      <c r="BQ165" s="3"/>
      <c r="BR165" s="3"/>
      <c r="BS165" s="3"/>
      <c r="BT165" s="3"/>
    </row>
    <row r="166" spans="1:72" ht="22.5" customHeight="1" x14ac:dyDescent="0.25">
      <c r="A166" s="3">
        <v>158</v>
      </c>
      <c r="B166" s="4" t="s">
        <v>1075</v>
      </c>
      <c r="D166" s="15" t="s">
        <v>1676</v>
      </c>
      <c r="E166" s="4" t="s">
        <v>1677</v>
      </c>
      <c r="F166" s="4"/>
      <c r="G166" s="4" t="s">
        <v>1684</v>
      </c>
      <c r="H166" s="4" t="s">
        <v>1685</v>
      </c>
      <c r="I166" s="4" t="s">
        <v>1686</v>
      </c>
      <c r="K166" s="4" t="s">
        <v>1687</v>
      </c>
      <c r="L166" s="4" t="s">
        <v>1688</v>
      </c>
      <c r="M166" s="4"/>
      <c r="S166" s="15" t="s">
        <v>406</v>
      </c>
      <c r="T166" s="15" t="s">
        <v>407</v>
      </c>
      <c r="V166" s="14"/>
      <c r="W166" s="15"/>
      <c r="X166" s="4"/>
      <c r="Y166" s="4"/>
      <c r="Z166" s="6"/>
      <c r="AA166" s="3"/>
      <c r="AB166" s="7"/>
      <c r="AC166" s="7"/>
      <c r="AD166" s="6"/>
      <c r="AE166" s="6"/>
      <c r="AF166" s="6"/>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9"/>
      <c r="BE166" s="3"/>
      <c r="BF166" s="3"/>
      <c r="BG166" s="3"/>
      <c r="BH166" s="3"/>
      <c r="BI166" s="3"/>
      <c r="BJ166" s="3"/>
      <c r="BK166" s="3"/>
      <c r="BL166" s="3"/>
      <c r="BM166" s="3"/>
      <c r="BN166" s="3"/>
      <c r="BO166" s="3"/>
      <c r="BP166" s="6"/>
      <c r="BQ166" s="3"/>
      <c r="BR166" s="3"/>
      <c r="BS166" s="3"/>
      <c r="BT166" s="3"/>
    </row>
    <row r="167" spans="1:72" ht="22.5" customHeight="1" x14ac:dyDescent="0.25">
      <c r="A167" s="3">
        <v>159</v>
      </c>
      <c r="B167" s="4" t="s">
        <v>1075</v>
      </c>
      <c r="D167" s="15" t="s">
        <v>1676</v>
      </c>
      <c r="E167" s="4" t="s">
        <v>1677</v>
      </c>
      <c r="F167" s="4"/>
      <c r="G167" s="4" t="s">
        <v>1689</v>
      </c>
      <c r="H167" s="4" t="s">
        <v>1690</v>
      </c>
      <c r="I167" s="4" t="s">
        <v>1691</v>
      </c>
      <c r="K167" s="4" t="s">
        <v>1687</v>
      </c>
      <c r="L167" s="4" t="s">
        <v>1692</v>
      </c>
      <c r="M167" s="4"/>
      <c r="S167" s="15" t="s">
        <v>406</v>
      </c>
      <c r="T167" s="15" t="s">
        <v>407</v>
      </c>
      <c r="V167" s="14"/>
      <c r="W167" s="15"/>
      <c r="X167" s="4"/>
      <c r="Y167" s="4"/>
      <c r="Z167" s="6"/>
      <c r="AA167" s="3"/>
      <c r="AB167" s="7"/>
      <c r="AC167" s="7"/>
      <c r="AD167" s="6"/>
      <c r="AE167" s="6"/>
      <c r="AF167" s="6"/>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9"/>
      <c r="BE167" s="3"/>
      <c r="BF167" s="3"/>
      <c r="BG167" s="3"/>
      <c r="BH167" s="3"/>
      <c r="BI167" s="3"/>
      <c r="BJ167" s="3"/>
      <c r="BK167" s="3"/>
      <c r="BL167" s="3"/>
      <c r="BM167" s="3"/>
      <c r="BN167" s="3"/>
      <c r="BO167" s="3"/>
      <c r="BP167" s="6"/>
      <c r="BQ167" s="3"/>
      <c r="BR167" s="3"/>
      <c r="BS167" s="3"/>
      <c r="BT167" s="3"/>
    </row>
    <row r="168" spans="1:72" ht="22.5" customHeight="1" x14ac:dyDescent="0.25">
      <c r="A168" s="3">
        <v>160</v>
      </c>
      <c r="B168" s="4" t="s">
        <v>1075</v>
      </c>
      <c r="D168" s="15" t="s">
        <v>1693</v>
      </c>
      <c r="E168" s="4" t="s">
        <v>1677</v>
      </c>
      <c r="F168" s="4"/>
      <c r="G168" s="4" t="s">
        <v>1694</v>
      </c>
      <c r="H168" s="4" t="s">
        <v>1695</v>
      </c>
      <c r="I168" s="4" t="s">
        <v>1696</v>
      </c>
      <c r="K168" s="4" t="s">
        <v>1697</v>
      </c>
      <c r="L168" s="4" t="s">
        <v>1698</v>
      </c>
      <c r="M168" s="4" t="s">
        <v>1699</v>
      </c>
      <c r="S168" s="15" t="s">
        <v>406</v>
      </c>
      <c r="T168" s="15" t="s">
        <v>84</v>
      </c>
      <c r="V168" s="14"/>
      <c r="W168" s="15"/>
      <c r="X168" s="4"/>
      <c r="Y168" s="4"/>
      <c r="Z168" s="6"/>
      <c r="AA168" s="3"/>
      <c r="AB168" s="7"/>
      <c r="AC168" s="7"/>
      <c r="AD168" s="6"/>
      <c r="AE168" s="6"/>
      <c r="AF168" s="6"/>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9"/>
      <c r="BE168" s="3"/>
      <c r="BF168" s="3"/>
      <c r="BG168" s="3"/>
      <c r="BH168" s="3"/>
      <c r="BI168" s="3"/>
      <c r="BJ168" s="3"/>
      <c r="BK168" s="3"/>
      <c r="BL168" s="3"/>
      <c r="BM168" s="3"/>
      <c r="BN168" s="3"/>
      <c r="BO168" s="3"/>
      <c r="BP168" s="6"/>
      <c r="BQ168" s="3"/>
      <c r="BR168" s="3"/>
      <c r="BS168" s="3"/>
      <c r="BT168" s="3"/>
    </row>
    <row r="169" spans="1:72" ht="22.5" customHeight="1" x14ac:dyDescent="0.25">
      <c r="A169" s="3">
        <v>161</v>
      </c>
      <c r="B169" s="4" t="s">
        <v>1075</v>
      </c>
      <c r="D169" s="4" t="s">
        <v>1700</v>
      </c>
      <c r="E169" s="4" t="s">
        <v>1677</v>
      </c>
      <c r="F169" s="4"/>
      <c r="G169" s="4" t="s">
        <v>1701</v>
      </c>
      <c r="H169" s="4" t="s">
        <v>1702</v>
      </c>
      <c r="I169" s="4" t="s">
        <v>1703</v>
      </c>
      <c r="K169" s="4" t="s">
        <v>1704</v>
      </c>
      <c r="L169" s="4" t="s">
        <v>1705</v>
      </c>
      <c r="M169" s="4" t="s">
        <v>1706</v>
      </c>
      <c r="S169" s="15" t="s">
        <v>406</v>
      </c>
      <c r="T169" s="15" t="s">
        <v>407</v>
      </c>
      <c r="V169" s="14"/>
      <c r="W169" s="15"/>
      <c r="X169" s="4" t="s">
        <v>140</v>
      </c>
      <c r="Y169" s="4"/>
      <c r="Z169" s="6"/>
      <c r="AA169" s="3"/>
      <c r="AB169" s="7"/>
      <c r="AC169" s="7"/>
      <c r="AD169" s="6"/>
      <c r="AE169" s="6"/>
      <c r="AF169" s="6"/>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9"/>
      <c r="BE169" s="3"/>
      <c r="BF169" s="3"/>
      <c r="BG169" s="3"/>
      <c r="BH169" s="3"/>
      <c r="BI169" s="3"/>
      <c r="BJ169" s="3"/>
      <c r="BK169" s="3"/>
      <c r="BL169" s="3"/>
      <c r="BM169" s="3"/>
      <c r="BN169" s="3"/>
      <c r="BO169" s="3"/>
      <c r="BP169" s="6"/>
      <c r="BQ169" s="3"/>
      <c r="BR169" s="3"/>
      <c r="BS169" s="3"/>
      <c r="BT169" s="3"/>
    </row>
    <row r="170" spans="1:72" ht="22.5" customHeight="1" x14ac:dyDescent="0.25">
      <c r="A170" s="3">
        <v>162</v>
      </c>
      <c r="B170" s="4" t="s">
        <v>1075</v>
      </c>
      <c r="D170" s="4" t="s">
        <v>1700</v>
      </c>
      <c r="E170" s="4" t="s">
        <v>1677</v>
      </c>
      <c r="F170" s="4"/>
      <c r="G170" s="4" t="s">
        <v>1707</v>
      </c>
      <c r="H170" s="4" t="s">
        <v>1708</v>
      </c>
      <c r="I170" s="4" t="s">
        <v>1709</v>
      </c>
      <c r="K170" s="4" t="s">
        <v>639</v>
      </c>
      <c r="L170" s="4" t="s">
        <v>1710</v>
      </c>
      <c r="M170" s="4"/>
      <c r="S170" s="15" t="s">
        <v>406</v>
      </c>
      <c r="T170" s="15" t="s">
        <v>407</v>
      </c>
      <c r="V170" s="14"/>
      <c r="W170" s="15"/>
      <c r="X170" s="4" t="s">
        <v>140</v>
      </c>
      <c r="Y170" s="4"/>
      <c r="Z170" s="6"/>
      <c r="AA170" s="3"/>
      <c r="AB170" s="7"/>
      <c r="AC170" s="7"/>
      <c r="AD170" s="6"/>
      <c r="AE170" s="6"/>
      <c r="AF170" s="6"/>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9"/>
      <c r="BE170" s="3"/>
      <c r="BF170" s="3"/>
      <c r="BG170" s="3"/>
      <c r="BH170" s="3"/>
      <c r="BI170" s="3"/>
      <c r="BJ170" s="3"/>
      <c r="BK170" s="3"/>
      <c r="BL170" s="3"/>
      <c r="BM170" s="3"/>
      <c r="BN170" s="3"/>
      <c r="BO170" s="3"/>
      <c r="BP170" s="6"/>
      <c r="BQ170" s="3"/>
      <c r="BR170" s="3"/>
      <c r="BS170" s="3"/>
      <c r="BT170" s="3"/>
    </row>
    <row r="171" spans="1:72" ht="92.25" customHeight="1" x14ac:dyDescent="0.25">
      <c r="A171" s="3">
        <v>163</v>
      </c>
      <c r="B171" s="4" t="s">
        <v>1075</v>
      </c>
      <c r="C171" s="4" t="s">
        <v>1076</v>
      </c>
      <c r="D171" s="4" t="s">
        <v>1711</v>
      </c>
      <c r="E171" s="4" t="s">
        <v>1712</v>
      </c>
      <c r="F171" s="4" t="s">
        <v>668</v>
      </c>
      <c r="G171" s="4" t="s">
        <v>1713</v>
      </c>
      <c r="H171" s="4" t="s">
        <v>1714</v>
      </c>
      <c r="I171" s="4" t="s">
        <v>1715</v>
      </c>
      <c r="J171" s="15" t="s">
        <v>1716</v>
      </c>
      <c r="K171" s="4" t="s">
        <v>1717</v>
      </c>
      <c r="L171" s="4" t="s">
        <v>1718</v>
      </c>
      <c r="M171" s="4" t="s">
        <v>1719</v>
      </c>
      <c r="N171" s="15"/>
      <c r="O171" s="15"/>
      <c r="P171" s="15"/>
      <c r="Q171" s="15"/>
      <c r="R171" s="15"/>
      <c r="S171" s="15" t="s">
        <v>83</v>
      </c>
      <c r="T171" s="15" t="s">
        <v>84</v>
      </c>
      <c r="U171" s="4" t="s">
        <v>1720</v>
      </c>
      <c r="V171" s="14">
        <v>0</v>
      </c>
      <c r="W171" s="15">
        <v>1</v>
      </c>
      <c r="X171" s="4" t="s">
        <v>501</v>
      </c>
      <c r="Y171" s="4"/>
      <c r="Z171" s="6"/>
      <c r="AA171" s="3"/>
      <c r="AB171" s="7"/>
      <c r="AC171" s="7"/>
      <c r="AD171" s="6"/>
      <c r="AE171" s="6"/>
      <c r="AF171" s="6"/>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9"/>
      <c r="BE171" s="3"/>
      <c r="BF171" s="3"/>
      <c r="BG171" s="3"/>
      <c r="BH171" s="3"/>
      <c r="BI171" s="3"/>
      <c r="BJ171" s="3"/>
      <c r="BK171" s="3"/>
      <c r="BL171" s="3"/>
      <c r="BM171" s="3"/>
      <c r="BN171" s="3"/>
      <c r="BO171" s="3"/>
      <c r="BP171" s="6"/>
      <c r="BQ171" s="3"/>
      <c r="BR171" s="3"/>
      <c r="BS171" s="3"/>
      <c r="BT171" s="3"/>
    </row>
    <row r="172" spans="1:72" ht="72.75" customHeight="1" x14ac:dyDescent="0.25">
      <c r="A172" s="3">
        <v>164</v>
      </c>
      <c r="B172" s="4" t="s">
        <v>1075</v>
      </c>
      <c r="C172" s="4" t="s">
        <v>1076</v>
      </c>
      <c r="D172" s="4" t="s">
        <v>1711</v>
      </c>
      <c r="E172" s="4" t="s">
        <v>1712</v>
      </c>
      <c r="F172" s="4" t="s">
        <v>74</v>
      </c>
      <c r="G172" s="4" t="s">
        <v>1721</v>
      </c>
      <c r="H172" s="4" t="s">
        <v>1722</v>
      </c>
      <c r="I172" s="4" t="s">
        <v>1723</v>
      </c>
      <c r="J172" s="15" t="s">
        <v>1724</v>
      </c>
      <c r="K172" s="4" t="s">
        <v>1725</v>
      </c>
      <c r="L172" s="4" t="s">
        <v>1726</v>
      </c>
      <c r="M172" s="4" t="s">
        <v>1727</v>
      </c>
      <c r="N172" s="15"/>
      <c r="O172" s="15"/>
      <c r="P172" s="15"/>
      <c r="Q172" s="15"/>
      <c r="R172" s="15"/>
      <c r="S172" s="15" t="s">
        <v>83</v>
      </c>
      <c r="T172" s="15" t="s">
        <v>84</v>
      </c>
      <c r="U172" s="15" t="s">
        <v>1728</v>
      </c>
      <c r="V172" s="14">
        <v>0</v>
      </c>
      <c r="W172" s="15">
        <v>1</v>
      </c>
      <c r="X172" s="4" t="s">
        <v>501</v>
      </c>
      <c r="Y172" s="4"/>
      <c r="Z172" s="6"/>
      <c r="AA172" s="3"/>
      <c r="AB172" s="7"/>
      <c r="AC172" s="7"/>
      <c r="AD172" s="6"/>
      <c r="AE172" s="6"/>
      <c r="AF172" s="6"/>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9"/>
      <c r="BE172" s="3"/>
      <c r="BF172" s="3"/>
      <c r="BG172" s="3"/>
      <c r="BH172" s="3"/>
      <c r="BI172" s="3"/>
      <c r="BJ172" s="3"/>
      <c r="BK172" s="3"/>
      <c r="BL172" s="3"/>
      <c r="BM172" s="3"/>
      <c r="BN172" s="3"/>
      <c r="BO172" s="3"/>
      <c r="BP172" s="6"/>
      <c r="BQ172" s="3"/>
      <c r="BR172" s="3"/>
      <c r="BS172" s="3"/>
      <c r="BT172" s="3"/>
    </row>
    <row r="173" spans="1:72" ht="74.25" customHeight="1" x14ac:dyDescent="0.25">
      <c r="A173" s="3">
        <v>165</v>
      </c>
      <c r="B173" s="4" t="s">
        <v>1075</v>
      </c>
      <c r="C173" s="4" t="s">
        <v>1076</v>
      </c>
      <c r="D173" s="4" t="s">
        <v>1711</v>
      </c>
      <c r="E173" s="4" t="s">
        <v>1712</v>
      </c>
      <c r="F173" s="4" t="s">
        <v>74</v>
      </c>
      <c r="G173" s="4" t="s">
        <v>1729</v>
      </c>
      <c r="H173" s="4" t="s">
        <v>1730</v>
      </c>
      <c r="I173" s="4" t="s">
        <v>1731</v>
      </c>
      <c r="J173" s="4" t="s">
        <v>1732</v>
      </c>
      <c r="K173" s="4" t="s">
        <v>1733</v>
      </c>
      <c r="L173" s="4" t="s">
        <v>1734</v>
      </c>
      <c r="M173" s="4" t="s">
        <v>1735</v>
      </c>
      <c r="N173" s="15"/>
      <c r="O173" s="15"/>
      <c r="P173" s="15"/>
      <c r="Q173" s="15"/>
      <c r="R173" s="15"/>
      <c r="S173" s="15" t="s">
        <v>83</v>
      </c>
      <c r="T173" s="15" t="s">
        <v>84</v>
      </c>
      <c r="U173" s="15" t="s">
        <v>1736</v>
      </c>
      <c r="V173" s="14">
        <v>0</v>
      </c>
      <c r="W173" s="15">
        <v>1</v>
      </c>
      <c r="X173" s="4" t="s">
        <v>501</v>
      </c>
      <c r="Y173" s="4"/>
      <c r="Z173" s="6"/>
      <c r="AA173" s="3"/>
      <c r="AB173" s="7"/>
      <c r="AC173" s="7"/>
      <c r="AD173" s="6"/>
      <c r="AE173" s="6"/>
      <c r="AF173" s="6"/>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9"/>
      <c r="BE173" s="3"/>
      <c r="BF173" s="3"/>
      <c r="BG173" s="3"/>
      <c r="BH173" s="3"/>
      <c r="BI173" s="3"/>
      <c r="BJ173" s="3"/>
      <c r="BK173" s="3"/>
      <c r="BL173" s="3"/>
      <c r="BM173" s="3"/>
      <c r="BN173" s="3"/>
      <c r="BO173" s="3"/>
      <c r="BP173" s="6"/>
      <c r="BQ173" s="3"/>
      <c r="BR173" s="3"/>
      <c r="BS173" s="3"/>
      <c r="BT173" s="3"/>
    </row>
    <row r="174" spans="1:72" ht="100.5" customHeight="1" x14ac:dyDescent="0.25">
      <c r="A174" s="3">
        <v>166</v>
      </c>
      <c r="B174" s="4" t="s">
        <v>1075</v>
      </c>
      <c r="C174" s="4" t="s">
        <v>1076</v>
      </c>
      <c r="D174" s="4" t="s">
        <v>1711</v>
      </c>
      <c r="E174" s="4" t="s">
        <v>1712</v>
      </c>
      <c r="F174" s="4" t="s">
        <v>1737</v>
      </c>
      <c r="G174" s="4" t="s">
        <v>1738</v>
      </c>
      <c r="H174" s="4" t="s">
        <v>1739</v>
      </c>
      <c r="I174" s="4" t="s">
        <v>1740</v>
      </c>
      <c r="J174" s="4" t="s">
        <v>1741</v>
      </c>
      <c r="K174" s="4" t="s">
        <v>1742</v>
      </c>
      <c r="L174" s="4" t="s">
        <v>1743</v>
      </c>
      <c r="M174" s="4" t="s">
        <v>1744</v>
      </c>
      <c r="N174" s="15"/>
      <c r="O174" s="15"/>
      <c r="P174" s="15"/>
      <c r="Q174" s="15"/>
      <c r="R174" s="15"/>
      <c r="S174" s="15" t="s">
        <v>83</v>
      </c>
      <c r="T174" s="15" t="s">
        <v>84</v>
      </c>
      <c r="U174" s="15" t="s">
        <v>1745</v>
      </c>
      <c r="V174" s="14">
        <v>0</v>
      </c>
      <c r="W174" s="15">
        <v>1</v>
      </c>
      <c r="X174" s="4" t="s">
        <v>501</v>
      </c>
      <c r="Y174" s="4"/>
      <c r="Z174" s="6"/>
      <c r="AA174" s="3"/>
      <c r="AB174" s="7"/>
      <c r="AC174" s="7"/>
      <c r="AD174" s="6"/>
      <c r="AE174" s="6"/>
      <c r="AF174" s="6"/>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9"/>
      <c r="BE174" s="3"/>
      <c r="BF174" s="3"/>
      <c r="BG174" s="3"/>
      <c r="BH174" s="3"/>
      <c r="BI174" s="3"/>
      <c r="BJ174" s="3"/>
      <c r="BK174" s="3"/>
      <c r="BL174" s="3"/>
      <c r="BM174" s="3"/>
      <c r="BN174" s="3"/>
      <c r="BO174" s="3"/>
      <c r="BP174" s="6"/>
      <c r="BQ174" s="3"/>
      <c r="BR174" s="3"/>
      <c r="BS174" s="3"/>
      <c r="BT174" s="3"/>
    </row>
    <row r="175" spans="1:72" ht="13.2" x14ac:dyDescent="0.25">
      <c r="A175" s="49"/>
      <c r="C175" s="4"/>
      <c r="BD175" s="50"/>
    </row>
    <row r="176" spans="1:72" ht="13.2" x14ac:dyDescent="0.25">
      <c r="A176" s="49"/>
      <c r="C176" s="4"/>
    </row>
    <row r="177" spans="1:3" ht="13.2" x14ac:dyDescent="0.25">
      <c r="A177" s="49"/>
      <c r="C177" s="4"/>
    </row>
    <row r="178" spans="1:3" ht="13.2" x14ac:dyDescent="0.25">
      <c r="A178" s="49"/>
      <c r="C178" s="4"/>
    </row>
    <row r="179" spans="1:3" ht="13.2" x14ac:dyDescent="0.25">
      <c r="A179" s="49"/>
      <c r="C179" s="4"/>
    </row>
    <row r="180" spans="1:3" ht="13.2" x14ac:dyDescent="0.25">
      <c r="A180" s="49"/>
      <c r="C180" s="4"/>
    </row>
    <row r="181" spans="1:3" ht="13.2" x14ac:dyDescent="0.25">
      <c r="A181" s="49"/>
      <c r="C181" s="4"/>
    </row>
    <row r="182" spans="1:3" ht="13.2" x14ac:dyDescent="0.25">
      <c r="A182" s="49"/>
      <c r="C182" s="4"/>
    </row>
    <row r="183" spans="1:3" ht="13.2" x14ac:dyDescent="0.25">
      <c r="A183" s="49"/>
      <c r="C183" s="4"/>
    </row>
    <row r="184" spans="1:3" ht="13.2" x14ac:dyDescent="0.25">
      <c r="A184" s="49"/>
      <c r="C184" s="4"/>
    </row>
    <row r="185" spans="1:3" ht="13.2" x14ac:dyDescent="0.25">
      <c r="A185" s="49"/>
      <c r="C185" s="4"/>
    </row>
    <row r="186" spans="1:3" ht="13.2" x14ac:dyDescent="0.25">
      <c r="A186" s="49"/>
      <c r="C186" s="4"/>
    </row>
    <row r="187" spans="1:3" ht="13.2" x14ac:dyDescent="0.25">
      <c r="A187" s="49"/>
      <c r="C187" s="4"/>
    </row>
    <row r="188" spans="1:3" ht="13.2" x14ac:dyDescent="0.25">
      <c r="A188" s="49"/>
      <c r="C188" s="4"/>
    </row>
    <row r="189" spans="1:3" ht="13.2" x14ac:dyDescent="0.25">
      <c r="A189" s="49"/>
      <c r="C189" s="4"/>
    </row>
    <row r="190" spans="1:3" ht="13.2" x14ac:dyDescent="0.25">
      <c r="A190" s="49"/>
      <c r="C190" s="4"/>
    </row>
    <row r="191" spans="1:3" ht="13.2" x14ac:dyDescent="0.25">
      <c r="A191" s="49"/>
      <c r="C191" s="4"/>
    </row>
    <row r="192" spans="1:3" ht="13.2" x14ac:dyDescent="0.25">
      <c r="A192" s="49"/>
      <c r="C192" s="4"/>
    </row>
    <row r="193" spans="1:3" ht="13.2" x14ac:dyDescent="0.25">
      <c r="A193" s="49"/>
      <c r="C193" s="4"/>
    </row>
    <row r="194" spans="1:3" ht="13.2" x14ac:dyDescent="0.25">
      <c r="A194" s="49"/>
      <c r="C194" s="4"/>
    </row>
    <row r="195" spans="1:3" ht="13.2" x14ac:dyDescent="0.25">
      <c r="A195" s="49"/>
      <c r="C195" s="4"/>
    </row>
    <row r="196" spans="1:3" ht="13.2" x14ac:dyDescent="0.25">
      <c r="A196" s="49"/>
      <c r="C196" s="4"/>
    </row>
    <row r="197" spans="1:3" ht="13.2" x14ac:dyDescent="0.25">
      <c r="A197" s="49"/>
      <c r="C197" s="4"/>
    </row>
    <row r="198" spans="1:3" ht="13.2" x14ac:dyDescent="0.25">
      <c r="A198" s="49"/>
      <c r="C198" s="4"/>
    </row>
    <row r="199" spans="1:3" ht="13.2" x14ac:dyDescent="0.25">
      <c r="A199" s="49"/>
      <c r="C199" s="4"/>
    </row>
    <row r="200" spans="1:3" ht="13.2" x14ac:dyDescent="0.25">
      <c r="A200" s="49"/>
      <c r="C200" s="4"/>
    </row>
    <row r="201" spans="1:3" ht="13.2" x14ac:dyDescent="0.25">
      <c r="A201" s="49"/>
      <c r="C201" s="4"/>
    </row>
    <row r="202" spans="1:3" ht="13.2" x14ac:dyDescent="0.25">
      <c r="A202" s="49"/>
      <c r="C202" s="4"/>
    </row>
    <row r="203" spans="1:3" ht="13.2" x14ac:dyDescent="0.25">
      <c r="A203" s="49"/>
      <c r="C203" s="4"/>
    </row>
    <row r="204" spans="1:3" ht="13.2" x14ac:dyDescent="0.25">
      <c r="A204" s="49"/>
      <c r="C204" s="4"/>
    </row>
    <row r="205" spans="1:3" ht="13.2" x14ac:dyDescent="0.25">
      <c r="A205" s="49"/>
      <c r="C205" s="4"/>
    </row>
    <row r="206" spans="1:3" ht="13.2" x14ac:dyDescent="0.25">
      <c r="A206" s="49"/>
      <c r="C206" s="4"/>
    </row>
    <row r="207" spans="1:3" ht="13.2" x14ac:dyDescent="0.25">
      <c r="A207" s="49"/>
      <c r="C207" s="4"/>
    </row>
    <row r="208" spans="1:3" ht="13.2" x14ac:dyDescent="0.25">
      <c r="A208" s="49"/>
      <c r="C208" s="4"/>
    </row>
    <row r="209" spans="1:3" ht="13.2" x14ac:dyDescent="0.25">
      <c r="A209" s="49"/>
      <c r="C209" s="4"/>
    </row>
    <row r="210" spans="1:3" ht="13.2" x14ac:dyDescent="0.25">
      <c r="A210" s="49"/>
      <c r="C210" s="4"/>
    </row>
    <row r="211" spans="1:3" ht="13.2" x14ac:dyDescent="0.25">
      <c r="A211" s="49"/>
      <c r="C211" s="4"/>
    </row>
    <row r="212" spans="1:3" ht="13.2" x14ac:dyDescent="0.25">
      <c r="A212" s="49"/>
      <c r="C212" s="4"/>
    </row>
    <row r="213" spans="1:3" ht="13.2" x14ac:dyDescent="0.25">
      <c r="A213" s="49"/>
      <c r="C213" s="4"/>
    </row>
    <row r="214" spans="1:3" ht="13.2" x14ac:dyDescent="0.25">
      <c r="A214" s="49"/>
      <c r="C214" s="4"/>
    </row>
    <row r="215" spans="1:3" ht="13.2" x14ac:dyDescent="0.25">
      <c r="A215" s="49"/>
      <c r="C215" s="4"/>
    </row>
    <row r="216" spans="1:3" ht="13.2" x14ac:dyDescent="0.25">
      <c r="A216" s="49"/>
      <c r="C216" s="4"/>
    </row>
    <row r="217" spans="1:3" ht="13.2" x14ac:dyDescent="0.25">
      <c r="A217" s="49"/>
      <c r="C217" s="4"/>
    </row>
    <row r="218" spans="1:3" ht="13.2" x14ac:dyDescent="0.25">
      <c r="A218" s="49"/>
      <c r="C218" s="4"/>
    </row>
    <row r="219" spans="1:3" ht="13.2" x14ac:dyDescent="0.25">
      <c r="A219" s="49"/>
      <c r="C219" s="4"/>
    </row>
    <row r="220" spans="1:3" ht="13.2" x14ac:dyDescent="0.25">
      <c r="A220" s="49"/>
      <c r="C220" s="4"/>
    </row>
    <row r="221" spans="1:3" ht="13.2" x14ac:dyDescent="0.25">
      <c r="A221" s="49"/>
      <c r="C221" s="4"/>
    </row>
    <row r="222" spans="1:3" ht="13.2" x14ac:dyDescent="0.25">
      <c r="A222" s="49"/>
      <c r="C222" s="4"/>
    </row>
    <row r="223" spans="1:3" ht="13.2" x14ac:dyDescent="0.25">
      <c r="A223" s="49"/>
      <c r="C223" s="4"/>
    </row>
    <row r="224" spans="1:3" ht="13.2" x14ac:dyDescent="0.25">
      <c r="A224" s="49"/>
      <c r="C224" s="4"/>
    </row>
    <row r="225" spans="1:3" ht="13.2" x14ac:dyDescent="0.25">
      <c r="A225" s="49"/>
      <c r="C225" s="4"/>
    </row>
    <row r="226" spans="1:3" ht="13.2" x14ac:dyDescent="0.25">
      <c r="A226" s="49"/>
      <c r="C226" s="4"/>
    </row>
    <row r="227" spans="1:3" ht="13.2" x14ac:dyDescent="0.25">
      <c r="A227" s="49"/>
      <c r="C227" s="4"/>
    </row>
    <row r="228" spans="1:3" ht="13.2" x14ac:dyDescent="0.25">
      <c r="A228" s="49"/>
      <c r="C228" s="4"/>
    </row>
    <row r="229" spans="1:3" ht="13.2" x14ac:dyDescent="0.25">
      <c r="A229" s="49"/>
      <c r="C229" s="4"/>
    </row>
    <row r="230" spans="1:3" ht="13.2" x14ac:dyDescent="0.25">
      <c r="A230" s="49"/>
      <c r="C230" s="4"/>
    </row>
    <row r="231" spans="1:3" ht="13.2" x14ac:dyDescent="0.25">
      <c r="A231" s="49"/>
      <c r="C231" s="4"/>
    </row>
    <row r="232" spans="1:3" ht="13.2" x14ac:dyDescent="0.25">
      <c r="A232" s="49"/>
      <c r="C232" s="4"/>
    </row>
    <row r="233" spans="1:3" ht="13.2" x14ac:dyDescent="0.25">
      <c r="A233" s="49"/>
      <c r="C233" s="4"/>
    </row>
    <row r="234" spans="1:3" ht="13.2" x14ac:dyDescent="0.25">
      <c r="A234" s="49"/>
      <c r="C234" s="4"/>
    </row>
    <row r="235" spans="1:3" ht="13.2" x14ac:dyDescent="0.25">
      <c r="A235" s="49"/>
      <c r="C235" s="4"/>
    </row>
    <row r="236" spans="1:3" ht="13.2" x14ac:dyDescent="0.25">
      <c r="A236" s="49"/>
      <c r="C236" s="4"/>
    </row>
    <row r="237" spans="1:3" ht="13.2" x14ac:dyDescent="0.25">
      <c r="A237" s="49"/>
      <c r="C237" s="4"/>
    </row>
    <row r="238" spans="1:3" ht="13.2" x14ac:dyDescent="0.25">
      <c r="A238" s="49"/>
      <c r="C238" s="4"/>
    </row>
    <row r="239" spans="1:3" ht="13.2" x14ac:dyDescent="0.25">
      <c r="A239" s="49"/>
      <c r="C239" s="4"/>
    </row>
    <row r="240" spans="1:3" ht="13.2" x14ac:dyDescent="0.25">
      <c r="A240" s="49"/>
      <c r="C240" s="4"/>
    </row>
    <row r="241" spans="1:3" ht="13.2" x14ac:dyDescent="0.25">
      <c r="A241" s="49"/>
      <c r="C241" s="4"/>
    </row>
    <row r="242" spans="1:3" ht="13.2" x14ac:dyDescent="0.25">
      <c r="A242" s="49"/>
      <c r="C242" s="4"/>
    </row>
    <row r="243" spans="1:3" ht="13.2" x14ac:dyDescent="0.25">
      <c r="A243" s="49"/>
      <c r="C243" s="4"/>
    </row>
    <row r="244" spans="1:3" ht="13.2" x14ac:dyDescent="0.25">
      <c r="A244" s="49"/>
      <c r="C244" s="4"/>
    </row>
    <row r="245" spans="1:3" ht="13.2" x14ac:dyDescent="0.25">
      <c r="A245" s="49"/>
      <c r="C245" s="4"/>
    </row>
    <row r="246" spans="1:3" ht="13.2" x14ac:dyDescent="0.25">
      <c r="A246" s="49"/>
      <c r="C246" s="4"/>
    </row>
    <row r="247" spans="1:3" ht="13.2" x14ac:dyDescent="0.25">
      <c r="A247" s="49"/>
      <c r="C247" s="4"/>
    </row>
    <row r="248" spans="1:3" ht="13.2" x14ac:dyDescent="0.25">
      <c r="A248" s="49"/>
      <c r="C248" s="4"/>
    </row>
    <row r="249" spans="1:3" ht="13.2" x14ac:dyDescent="0.25">
      <c r="A249" s="49"/>
      <c r="C249" s="4"/>
    </row>
    <row r="250" spans="1:3" ht="13.2" x14ac:dyDescent="0.25">
      <c r="A250" s="49"/>
      <c r="C250" s="4"/>
    </row>
    <row r="251" spans="1:3" ht="13.2" x14ac:dyDescent="0.25">
      <c r="A251" s="49"/>
      <c r="C251" s="4"/>
    </row>
    <row r="252" spans="1:3" ht="13.2" x14ac:dyDescent="0.25">
      <c r="A252" s="49"/>
      <c r="C252" s="4"/>
    </row>
    <row r="253" spans="1:3" ht="13.2" x14ac:dyDescent="0.25">
      <c r="A253" s="49"/>
      <c r="C253" s="4"/>
    </row>
    <row r="254" spans="1:3" ht="13.2" x14ac:dyDescent="0.25">
      <c r="A254" s="49"/>
      <c r="C254" s="4"/>
    </row>
    <row r="255" spans="1:3" ht="13.2" x14ac:dyDescent="0.25">
      <c r="A255" s="49"/>
      <c r="C255" s="4"/>
    </row>
    <row r="256" spans="1:3" ht="13.2" x14ac:dyDescent="0.25">
      <c r="A256" s="49"/>
      <c r="C256" s="4"/>
    </row>
    <row r="257" spans="1:3" ht="13.2" x14ac:dyDescent="0.25">
      <c r="A257" s="49"/>
      <c r="C257" s="4"/>
    </row>
    <row r="258" spans="1:3" ht="13.2" x14ac:dyDescent="0.25">
      <c r="A258" s="49"/>
      <c r="C258" s="4"/>
    </row>
    <row r="259" spans="1:3" ht="13.2" x14ac:dyDescent="0.25">
      <c r="A259" s="49"/>
      <c r="C259" s="4"/>
    </row>
    <row r="260" spans="1:3" ht="13.2" x14ac:dyDescent="0.25">
      <c r="A260" s="49"/>
      <c r="C260" s="4"/>
    </row>
    <row r="261" spans="1:3" ht="13.2" x14ac:dyDescent="0.25">
      <c r="A261" s="49"/>
      <c r="C261" s="4"/>
    </row>
    <row r="262" spans="1:3" ht="13.2" x14ac:dyDescent="0.25">
      <c r="A262" s="49"/>
      <c r="C262" s="4"/>
    </row>
    <row r="263" spans="1:3" ht="13.2" x14ac:dyDescent="0.25">
      <c r="A263" s="49"/>
      <c r="C263" s="4"/>
    </row>
    <row r="264" spans="1:3" ht="13.2" x14ac:dyDescent="0.25">
      <c r="A264" s="49"/>
      <c r="C264" s="4"/>
    </row>
    <row r="265" spans="1:3" ht="13.2" x14ac:dyDescent="0.25">
      <c r="A265" s="49"/>
      <c r="C265" s="4"/>
    </row>
    <row r="266" spans="1:3" ht="13.2" x14ac:dyDescent="0.25">
      <c r="A266" s="49"/>
      <c r="C266" s="4"/>
    </row>
    <row r="267" spans="1:3" ht="13.2" x14ac:dyDescent="0.25">
      <c r="A267" s="49"/>
      <c r="C267" s="4"/>
    </row>
    <row r="268" spans="1:3" ht="13.2" x14ac:dyDescent="0.25">
      <c r="A268" s="49"/>
      <c r="C268" s="4"/>
    </row>
    <row r="269" spans="1:3" ht="13.2" x14ac:dyDescent="0.25">
      <c r="A269" s="49"/>
      <c r="C269" s="4"/>
    </row>
    <row r="270" spans="1:3" ht="13.2" x14ac:dyDescent="0.25">
      <c r="A270" s="49"/>
      <c r="C270" s="4"/>
    </row>
    <row r="271" spans="1:3" ht="13.2" x14ac:dyDescent="0.25">
      <c r="A271" s="49"/>
      <c r="C271" s="4"/>
    </row>
    <row r="272" spans="1:3" ht="13.2" x14ac:dyDescent="0.25">
      <c r="A272" s="49"/>
      <c r="C272" s="4"/>
    </row>
    <row r="273" spans="1:3" ht="13.2" x14ac:dyDescent="0.25">
      <c r="A273" s="49"/>
      <c r="C273" s="4"/>
    </row>
    <row r="274" spans="1:3" ht="13.2" x14ac:dyDescent="0.25">
      <c r="A274" s="49"/>
      <c r="C274" s="4"/>
    </row>
    <row r="275" spans="1:3" ht="13.2" x14ac:dyDescent="0.25">
      <c r="A275" s="49"/>
      <c r="C275" s="4"/>
    </row>
    <row r="276" spans="1:3" ht="13.2" x14ac:dyDescent="0.25">
      <c r="A276" s="49"/>
      <c r="C276" s="4"/>
    </row>
    <row r="277" spans="1:3" ht="13.2" x14ac:dyDescent="0.25">
      <c r="A277" s="49"/>
      <c r="C277" s="4"/>
    </row>
    <row r="278" spans="1:3" ht="13.2" x14ac:dyDescent="0.25">
      <c r="A278" s="49"/>
      <c r="C278" s="4"/>
    </row>
    <row r="279" spans="1:3" ht="13.2" x14ac:dyDescent="0.25">
      <c r="A279" s="49"/>
      <c r="C279" s="4"/>
    </row>
    <row r="280" spans="1:3" ht="13.2" x14ac:dyDescent="0.25">
      <c r="A280" s="49"/>
      <c r="C280" s="4"/>
    </row>
    <row r="281" spans="1:3" ht="13.2" x14ac:dyDescent="0.25">
      <c r="A281" s="49"/>
      <c r="C281" s="4"/>
    </row>
    <row r="282" spans="1:3" ht="13.2" x14ac:dyDescent="0.25">
      <c r="A282" s="49"/>
      <c r="C282" s="4"/>
    </row>
    <row r="283" spans="1:3" ht="13.2" x14ac:dyDescent="0.25">
      <c r="A283" s="49"/>
      <c r="C283" s="4"/>
    </row>
    <row r="284" spans="1:3" ht="13.2" x14ac:dyDescent="0.25">
      <c r="A284" s="49"/>
      <c r="C284" s="4"/>
    </row>
    <row r="285" spans="1:3" ht="13.2" x14ac:dyDescent="0.25">
      <c r="A285" s="49"/>
      <c r="C285" s="4"/>
    </row>
    <row r="286" spans="1:3" ht="13.2" x14ac:dyDescent="0.25">
      <c r="A286" s="49"/>
      <c r="C286" s="4"/>
    </row>
    <row r="287" spans="1:3" ht="13.2" x14ac:dyDescent="0.25">
      <c r="A287" s="49"/>
      <c r="C287" s="4"/>
    </row>
    <row r="288" spans="1:3" ht="13.2" x14ac:dyDescent="0.25">
      <c r="A288" s="49"/>
      <c r="C288" s="4"/>
    </row>
    <row r="289" spans="1:3" ht="13.2" x14ac:dyDescent="0.25">
      <c r="A289" s="49"/>
      <c r="C289" s="4"/>
    </row>
    <row r="290" spans="1:3" ht="13.2" x14ac:dyDescent="0.25">
      <c r="A290" s="49"/>
      <c r="C290" s="4"/>
    </row>
    <row r="291" spans="1:3" ht="13.2" x14ac:dyDescent="0.25">
      <c r="A291" s="49"/>
      <c r="C291" s="4"/>
    </row>
    <row r="292" spans="1:3" ht="13.2" x14ac:dyDescent="0.25">
      <c r="A292" s="49"/>
      <c r="C292" s="4"/>
    </row>
    <row r="293" spans="1:3" ht="13.2" x14ac:dyDescent="0.25">
      <c r="A293" s="49"/>
      <c r="C293" s="4"/>
    </row>
    <row r="294" spans="1:3" ht="13.2" x14ac:dyDescent="0.25">
      <c r="A294" s="49"/>
      <c r="C294" s="4"/>
    </row>
    <row r="295" spans="1:3" ht="13.2" x14ac:dyDescent="0.25">
      <c r="A295" s="49"/>
      <c r="C295" s="4"/>
    </row>
    <row r="296" spans="1:3" ht="13.2" x14ac:dyDescent="0.25">
      <c r="A296" s="49"/>
      <c r="C296" s="4"/>
    </row>
    <row r="297" spans="1:3" ht="13.2" x14ac:dyDescent="0.25">
      <c r="A297" s="49"/>
      <c r="C297" s="4"/>
    </row>
    <row r="298" spans="1:3" ht="13.2" x14ac:dyDescent="0.25">
      <c r="A298" s="49"/>
      <c r="C298" s="4"/>
    </row>
    <row r="299" spans="1:3" ht="13.2" x14ac:dyDescent="0.25">
      <c r="A299" s="49"/>
      <c r="C299" s="4"/>
    </row>
    <row r="300" spans="1:3" ht="13.2" x14ac:dyDescent="0.25">
      <c r="A300" s="49"/>
      <c r="C300" s="4"/>
    </row>
    <row r="301" spans="1:3" ht="13.2" x14ac:dyDescent="0.25">
      <c r="A301" s="49"/>
      <c r="C301" s="4"/>
    </row>
    <row r="302" spans="1:3" ht="13.2" x14ac:dyDescent="0.25">
      <c r="A302" s="49"/>
      <c r="C302" s="4"/>
    </row>
    <row r="303" spans="1:3" ht="13.2" x14ac:dyDescent="0.25">
      <c r="A303" s="49"/>
      <c r="C303" s="4"/>
    </row>
    <row r="304" spans="1:3" ht="13.2" x14ac:dyDescent="0.25">
      <c r="A304" s="49"/>
      <c r="C304" s="4"/>
    </row>
    <row r="305" spans="1:3" ht="13.2" x14ac:dyDescent="0.25">
      <c r="A305" s="49"/>
      <c r="C305" s="4"/>
    </row>
    <row r="306" spans="1:3" ht="13.2" x14ac:dyDescent="0.25">
      <c r="A306" s="49"/>
      <c r="C306" s="4"/>
    </row>
    <row r="307" spans="1:3" ht="13.2" x14ac:dyDescent="0.25">
      <c r="A307" s="49"/>
      <c r="C307" s="4"/>
    </row>
    <row r="308" spans="1:3" ht="13.2" x14ac:dyDescent="0.25">
      <c r="A308" s="49"/>
      <c r="C308" s="4"/>
    </row>
    <row r="309" spans="1:3" ht="13.2" x14ac:dyDescent="0.25">
      <c r="A309" s="49"/>
      <c r="C309" s="4"/>
    </row>
    <row r="310" spans="1:3" ht="13.2" x14ac:dyDescent="0.25">
      <c r="A310" s="49"/>
      <c r="C310" s="4"/>
    </row>
    <row r="311" spans="1:3" ht="13.2" x14ac:dyDescent="0.25">
      <c r="A311" s="49"/>
      <c r="C311" s="4"/>
    </row>
    <row r="312" spans="1:3" ht="13.2" x14ac:dyDescent="0.25">
      <c r="A312" s="49"/>
      <c r="C312" s="4"/>
    </row>
    <row r="313" spans="1:3" ht="13.2" x14ac:dyDescent="0.25">
      <c r="A313" s="49"/>
      <c r="C313" s="4"/>
    </row>
    <row r="314" spans="1:3" ht="13.2" x14ac:dyDescent="0.25">
      <c r="A314" s="49"/>
      <c r="C314" s="4"/>
    </row>
    <row r="315" spans="1:3" ht="13.2" x14ac:dyDescent="0.25">
      <c r="A315" s="49"/>
      <c r="C315" s="4"/>
    </row>
    <row r="316" spans="1:3" ht="13.2" x14ac:dyDescent="0.25">
      <c r="A316" s="49"/>
      <c r="C316" s="4"/>
    </row>
    <row r="317" spans="1:3" ht="13.2" x14ac:dyDescent="0.25">
      <c r="A317" s="49"/>
      <c r="C317" s="4"/>
    </row>
    <row r="318" spans="1:3" ht="13.2" x14ac:dyDescent="0.25">
      <c r="A318" s="49"/>
      <c r="C318" s="4"/>
    </row>
    <row r="319" spans="1:3" ht="13.2" x14ac:dyDescent="0.25">
      <c r="A319" s="49"/>
      <c r="C319" s="4"/>
    </row>
    <row r="320" spans="1:3" ht="13.2" x14ac:dyDescent="0.25">
      <c r="A320" s="49"/>
      <c r="C320" s="4"/>
    </row>
    <row r="321" spans="1:3" ht="13.2" x14ac:dyDescent="0.25">
      <c r="A321" s="49"/>
      <c r="C321" s="4"/>
    </row>
    <row r="322" spans="1:3" ht="13.2" x14ac:dyDescent="0.25">
      <c r="A322" s="49"/>
      <c r="C322" s="4"/>
    </row>
    <row r="323" spans="1:3" ht="13.2" x14ac:dyDescent="0.25">
      <c r="A323" s="49"/>
      <c r="C323" s="4"/>
    </row>
    <row r="324" spans="1:3" ht="13.2" x14ac:dyDescent="0.25">
      <c r="A324" s="49"/>
      <c r="C324" s="4"/>
    </row>
    <row r="325" spans="1:3" ht="13.2" x14ac:dyDescent="0.25">
      <c r="A325" s="49"/>
      <c r="C325" s="4"/>
    </row>
    <row r="326" spans="1:3" ht="13.2" x14ac:dyDescent="0.25">
      <c r="A326" s="49"/>
      <c r="C326" s="4"/>
    </row>
    <row r="327" spans="1:3" ht="13.2" x14ac:dyDescent="0.25">
      <c r="A327" s="49"/>
      <c r="C327" s="4"/>
    </row>
    <row r="328" spans="1:3" ht="13.2" x14ac:dyDescent="0.25">
      <c r="A328" s="49"/>
      <c r="C328" s="4"/>
    </row>
    <row r="329" spans="1:3" ht="13.2" x14ac:dyDescent="0.25">
      <c r="A329" s="49"/>
      <c r="C329" s="4"/>
    </row>
    <row r="330" spans="1:3" ht="13.2" x14ac:dyDescent="0.25">
      <c r="A330" s="49"/>
      <c r="C330" s="4"/>
    </row>
    <row r="331" spans="1:3" ht="13.2" x14ac:dyDescent="0.25">
      <c r="A331" s="49"/>
      <c r="C331" s="4"/>
    </row>
    <row r="332" spans="1:3" ht="13.2" x14ac:dyDescent="0.25">
      <c r="A332" s="49"/>
      <c r="C332" s="4"/>
    </row>
    <row r="333" spans="1:3" ht="13.2" x14ac:dyDescent="0.25">
      <c r="A333" s="49"/>
      <c r="C333" s="4"/>
    </row>
    <row r="334" spans="1:3" ht="13.2" x14ac:dyDescent="0.25">
      <c r="A334" s="49"/>
      <c r="C334" s="4"/>
    </row>
    <row r="335" spans="1:3" ht="13.2" x14ac:dyDescent="0.25">
      <c r="A335" s="49"/>
      <c r="C335" s="4"/>
    </row>
    <row r="336" spans="1:3" ht="13.2" x14ac:dyDescent="0.25">
      <c r="A336" s="49"/>
      <c r="C336" s="4"/>
    </row>
    <row r="337" spans="1:3" ht="13.2" x14ac:dyDescent="0.25">
      <c r="A337" s="49"/>
      <c r="C337" s="4"/>
    </row>
    <row r="338" spans="1:3" ht="13.2" x14ac:dyDescent="0.25">
      <c r="A338" s="49"/>
      <c r="C338" s="4"/>
    </row>
    <row r="339" spans="1:3" ht="13.2" x14ac:dyDescent="0.25">
      <c r="A339" s="49"/>
      <c r="C339" s="4"/>
    </row>
    <row r="340" spans="1:3" ht="13.2" x14ac:dyDescent="0.25">
      <c r="A340" s="49"/>
      <c r="C340" s="4"/>
    </row>
    <row r="341" spans="1:3" ht="13.2" x14ac:dyDescent="0.25">
      <c r="A341" s="49"/>
      <c r="C341" s="4"/>
    </row>
    <row r="342" spans="1:3" ht="13.2" x14ac:dyDescent="0.25">
      <c r="A342" s="49"/>
      <c r="C342" s="4"/>
    </row>
    <row r="343" spans="1:3" ht="13.2" x14ac:dyDescent="0.25">
      <c r="A343" s="49"/>
      <c r="C343" s="4"/>
    </row>
    <row r="344" spans="1:3" ht="13.2" x14ac:dyDescent="0.25">
      <c r="A344" s="49"/>
      <c r="C344" s="4"/>
    </row>
    <row r="345" spans="1:3" ht="13.2" x14ac:dyDescent="0.25">
      <c r="A345" s="49"/>
      <c r="C345" s="4"/>
    </row>
    <row r="346" spans="1:3" ht="13.2" x14ac:dyDescent="0.25">
      <c r="A346" s="49"/>
      <c r="C346" s="4"/>
    </row>
    <row r="347" spans="1:3" ht="13.2" x14ac:dyDescent="0.25">
      <c r="A347" s="49"/>
      <c r="C347" s="4"/>
    </row>
    <row r="348" spans="1:3" ht="13.2" x14ac:dyDescent="0.25">
      <c r="A348" s="49"/>
      <c r="C348" s="4"/>
    </row>
    <row r="349" spans="1:3" ht="13.2" x14ac:dyDescent="0.25">
      <c r="A349" s="49"/>
      <c r="C349" s="4"/>
    </row>
    <row r="350" spans="1:3" ht="13.2" x14ac:dyDescent="0.25">
      <c r="A350" s="49"/>
      <c r="C350" s="4"/>
    </row>
    <row r="351" spans="1:3" ht="13.2" x14ac:dyDescent="0.25">
      <c r="A351" s="49"/>
      <c r="C351" s="4"/>
    </row>
    <row r="352" spans="1:3" ht="13.2" x14ac:dyDescent="0.25">
      <c r="A352" s="49"/>
      <c r="C352" s="4"/>
    </row>
    <row r="353" spans="1:3" ht="13.2" x14ac:dyDescent="0.25">
      <c r="A353" s="49"/>
      <c r="C353" s="4"/>
    </row>
    <row r="354" spans="1:3" ht="13.2" x14ac:dyDescent="0.25">
      <c r="A354" s="49"/>
      <c r="C354" s="4"/>
    </row>
    <row r="355" spans="1:3" ht="13.2" x14ac:dyDescent="0.25">
      <c r="A355" s="49"/>
      <c r="C355" s="4"/>
    </row>
    <row r="356" spans="1:3" ht="13.2" x14ac:dyDescent="0.25">
      <c r="A356" s="49"/>
      <c r="C356" s="4"/>
    </row>
    <row r="357" spans="1:3" ht="13.2" x14ac:dyDescent="0.25">
      <c r="A357" s="49"/>
      <c r="C357" s="4"/>
    </row>
    <row r="358" spans="1:3" ht="13.2" x14ac:dyDescent="0.25">
      <c r="A358" s="49"/>
      <c r="C358" s="4"/>
    </row>
    <row r="359" spans="1:3" ht="13.2" x14ac:dyDescent="0.25">
      <c r="A359" s="49"/>
      <c r="C359" s="4"/>
    </row>
    <row r="360" spans="1:3" ht="13.2" x14ac:dyDescent="0.25">
      <c r="A360" s="49"/>
      <c r="C360" s="4"/>
    </row>
    <row r="361" spans="1:3" ht="13.2" x14ac:dyDescent="0.25">
      <c r="A361" s="49"/>
      <c r="C361" s="4"/>
    </row>
    <row r="362" spans="1:3" ht="13.2" x14ac:dyDescent="0.25">
      <c r="A362" s="49"/>
      <c r="C362" s="4"/>
    </row>
    <row r="363" spans="1:3" ht="13.2" x14ac:dyDescent="0.25">
      <c r="A363" s="49"/>
      <c r="C363" s="4"/>
    </row>
    <row r="364" spans="1:3" ht="13.2" x14ac:dyDescent="0.25">
      <c r="A364" s="49"/>
      <c r="C364" s="4"/>
    </row>
    <row r="365" spans="1:3" ht="13.2" x14ac:dyDescent="0.25">
      <c r="A365" s="49"/>
      <c r="C365" s="4"/>
    </row>
    <row r="366" spans="1:3" ht="13.2" x14ac:dyDescent="0.25">
      <c r="A366" s="49"/>
      <c r="C366" s="4"/>
    </row>
    <row r="367" spans="1:3" ht="13.2" x14ac:dyDescent="0.25">
      <c r="A367" s="49"/>
      <c r="C367" s="4"/>
    </row>
    <row r="368" spans="1:3" ht="13.2" x14ac:dyDescent="0.25">
      <c r="A368" s="49"/>
      <c r="C368" s="4"/>
    </row>
    <row r="369" spans="1:3" ht="13.2" x14ac:dyDescent="0.25">
      <c r="A369" s="49"/>
      <c r="C369" s="4"/>
    </row>
    <row r="370" spans="1:3" ht="13.2" x14ac:dyDescent="0.25">
      <c r="A370" s="49"/>
      <c r="C370" s="4"/>
    </row>
    <row r="371" spans="1:3" ht="13.2" x14ac:dyDescent="0.25">
      <c r="A371" s="49"/>
      <c r="C371" s="4"/>
    </row>
    <row r="372" spans="1:3" ht="13.2" x14ac:dyDescent="0.25">
      <c r="A372" s="49"/>
      <c r="C372" s="4"/>
    </row>
    <row r="373" spans="1:3" ht="13.2" x14ac:dyDescent="0.25">
      <c r="A373" s="49"/>
      <c r="C373" s="4"/>
    </row>
    <row r="374" spans="1:3" ht="13.2" x14ac:dyDescent="0.25">
      <c r="A374" s="49"/>
      <c r="C374" s="4"/>
    </row>
    <row r="375" spans="1:3" ht="13.2" x14ac:dyDescent="0.25">
      <c r="A375" s="49"/>
      <c r="C375" s="4"/>
    </row>
    <row r="376" spans="1:3" ht="13.2" x14ac:dyDescent="0.25">
      <c r="A376" s="49"/>
      <c r="C376" s="4"/>
    </row>
    <row r="377" spans="1:3" ht="13.2" x14ac:dyDescent="0.25">
      <c r="A377" s="49"/>
      <c r="C377" s="4"/>
    </row>
    <row r="378" spans="1:3" ht="13.2" x14ac:dyDescent="0.25">
      <c r="A378" s="49"/>
      <c r="C378" s="4"/>
    </row>
    <row r="379" spans="1:3" ht="13.2" x14ac:dyDescent="0.25">
      <c r="A379" s="49"/>
      <c r="C379" s="4"/>
    </row>
    <row r="380" spans="1:3" ht="13.2" x14ac:dyDescent="0.25">
      <c r="A380" s="49"/>
      <c r="C380" s="4"/>
    </row>
    <row r="381" spans="1:3" ht="13.2" x14ac:dyDescent="0.25">
      <c r="A381" s="49"/>
      <c r="C381" s="4"/>
    </row>
    <row r="382" spans="1:3" ht="13.2" x14ac:dyDescent="0.25">
      <c r="A382" s="49"/>
      <c r="C382" s="4"/>
    </row>
    <row r="383" spans="1:3" ht="13.2" x14ac:dyDescent="0.25">
      <c r="A383" s="49"/>
      <c r="C383" s="4"/>
    </row>
    <row r="384" spans="1:3" ht="13.2" x14ac:dyDescent="0.25">
      <c r="A384" s="49"/>
      <c r="C384" s="4"/>
    </row>
    <row r="385" spans="1:3" ht="13.2" x14ac:dyDescent="0.25">
      <c r="A385" s="49"/>
      <c r="C385" s="4"/>
    </row>
    <row r="386" spans="1:3" ht="13.2" x14ac:dyDescent="0.25">
      <c r="A386" s="49"/>
      <c r="C386" s="4"/>
    </row>
    <row r="387" spans="1:3" ht="13.2" x14ac:dyDescent="0.25">
      <c r="A387" s="49"/>
      <c r="C387" s="4"/>
    </row>
    <row r="388" spans="1:3" ht="13.2" x14ac:dyDescent="0.25">
      <c r="A388" s="49"/>
      <c r="C388" s="4"/>
    </row>
    <row r="389" spans="1:3" ht="13.2" x14ac:dyDescent="0.25">
      <c r="A389" s="49"/>
      <c r="C389" s="4"/>
    </row>
    <row r="390" spans="1:3" ht="13.2" x14ac:dyDescent="0.25">
      <c r="A390" s="49"/>
      <c r="C390" s="4"/>
    </row>
    <row r="391" spans="1:3" ht="13.2" x14ac:dyDescent="0.25">
      <c r="A391" s="49"/>
      <c r="C391" s="4"/>
    </row>
    <row r="392" spans="1:3" ht="13.2" x14ac:dyDescent="0.25">
      <c r="A392" s="49"/>
      <c r="C392" s="4"/>
    </row>
    <row r="393" spans="1:3" ht="13.2" x14ac:dyDescent="0.25">
      <c r="A393" s="49"/>
      <c r="C393" s="4"/>
    </row>
    <row r="394" spans="1:3" ht="13.2" x14ac:dyDescent="0.25">
      <c r="A394" s="49"/>
      <c r="C394" s="4"/>
    </row>
    <row r="395" spans="1:3" ht="13.2" x14ac:dyDescent="0.25">
      <c r="A395" s="49"/>
      <c r="C395" s="4"/>
    </row>
    <row r="396" spans="1:3" ht="13.2" x14ac:dyDescent="0.25">
      <c r="A396" s="49"/>
      <c r="C396" s="4"/>
    </row>
    <row r="397" spans="1:3" ht="13.2" x14ac:dyDescent="0.25">
      <c r="A397" s="49"/>
      <c r="C397" s="4"/>
    </row>
    <row r="398" spans="1:3" ht="13.2" x14ac:dyDescent="0.25">
      <c r="A398" s="49"/>
      <c r="C398" s="4"/>
    </row>
    <row r="399" spans="1:3" ht="13.2" x14ac:dyDescent="0.25">
      <c r="A399" s="49"/>
      <c r="C399" s="4"/>
    </row>
    <row r="400" spans="1:3" ht="13.2" x14ac:dyDescent="0.25">
      <c r="A400" s="49"/>
      <c r="C400" s="4"/>
    </row>
    <row r="401" spans="1:3" ht="13.2" x14ac:dyDescent="0.25">
      <c r="A401" s="49"/>
      <c r="C401" s="4"/>
    </row>
    <row r="402" spans="1:3" ht="13.2" x14ac:dyDescent="0.25">
      <c r="A402" s="49"/>
      <c r="C402" s="4"/>
    </row>
    <row r="403" spans="1:3" ht="13.2" x14ac:dyDescent="0.25">
      <c r="A403" s="49"/>
      <c r="C403" s="4"/>
    </row>
    <row r="404" spans="1:3" ht="13.2" x14ac:dyDescent="0.25">
      <c r="A404" s="49"/>
      <c r="C404" s="4"/>
    </row>
    <row r="405" spans="1:3" ht="13.2" x14ac:dyDescent="0.25">
      <c r="A405" s="49"/>
      <c r="C405" s="4"/>
    </row>
    <row r="406" spans="1:3" ht="13.2" x14ac:dyDescent="0.25">
      <c r="A406" s="49"/>
      <c r="C406" s="4"/>
    </row>
    <row r="407" spans="1:3" ht="13.2" x14ac:dyDescent="0.25">
      <c r="A407" s="49"/>
      <c r="C407" s="4"/>
    </row>
    <row r="408" spans="1:3" ht="13.2" x14ac:dyDescent="0.25">
      <c r="A408" s="49"/>
      <c r="C408" s="4"/>
    </row>
    <row r="409" spans="1:3" ht="13.2" x14ac:dyDescent="0.25">
      <c r="A409" s="49"/>
      <c r="C409" s="4"/>
    </row>
    <row r="410" spans="1:3" ht="13.2" x14ac:dyDescent="0.25">
      <c r="A410" s="49"/>
      <c r="C410" s="4"/>
    </row>
    <row r="411" spans="1:3" ht="13.2" x14ac:dyDescent="0.25">
      <c r="A411" s="49"/>
      <c r="C411" s="4"/>
    </row>
    <row r="412" spans="1:3" ht="13.2" x14ac:dyDescent="0.25">
      <c r="A412" s="49"/>
      <c r="C412" s="4"/>
    </row>
    <row r="413" spans="1:3" ht="13.2" x14ac:dyDescent="0.25">
      <c r="A413" s="49"/>
      <c r="C413" s="4"/>
    </row>
    <row r="414" spans="1:3" ht="13.2" x14ac:dyDescent="0.25">
      <c r="A414" s="49"/>
      <c r="C414" s="4"/>
    </row>
    <row r="415" spans="1:3" ht="13.2" x14ac:dyDescent="0.25">
      <c r="A415" s="49"/>
      <c r="C415" s="4"/>
    </row>
    <row r="416" spans="1:3" ht="13.2" x14ac:dyDescent="0.25">
      <c r="A416" s="49"/>
      <c r="C416" s="4"/>
    </row>
    <row r="417" spans="1:3" ht="13.2" x14ac:dyDescent="0.25">
      <c r="A417" s="49"/>
      <c r="C417" s="4"/>
    </row>
    <row r="418" spans="1:3" ht="13.2" x14ac:dyDescent="0.25">
      <c r="A418" s="49"/>
      <c r="C418" s="4"/>
    </row>
    <row r="419" spans="1:3" ht="13.2" x14ac:dyDescent="0.25">
      <c r="A419" s="49"/>
      <c r="C419" s="4"/>
    </row>
    <row r="420" spans="1:3" ht="13.2" x14ac:dyDescent="0.25">
      <c r="A420" s="49"/>
      <c r="C420" s="4"/>
    </row>
    <row r="421" spans="1:3" ht="13.2" x14ac:dyDescent="0.25">
      <c r="A421" s="49"/>
      <c r="C421" s="4"/>
    </row>
    <row r="422" spans="1:3" ht="13.2" x14ac:dyDescent="0.25">
      <c r="A422" s="49"/>
      <c r="C422" s="4"/>
    </row>
    <row r="423" spans="1:3" ht="13.2" x14ac:dyDescent="0.25">
      <c r="A423" s="49"/>
      <c r="C423" s="4"/>
    </row>
    <row r="424" spans="1:3" ht="13.2" x14ac:dyDescent="0.25">
      <c r="A424" s="49"/>
      <c r="C424" s="4"/>
    </row>
    <row r="425" spans="1:3" ht="13.2" x14ac:dyDescent="0.25">
      <c r="A425" s="49"/>
      <c r="C425" s="4"/>
    </row>
    <row r="426" spans="1:3" ht="13.2" x14ac:dyDescent="0.25">
      <c r="A426" s="49"/>
      <c r="C426" s="4"/>
    </row>
    <row r="427" spans="1:3" ht="13.2" x14ac:dyDescent="0.25">
      <c r="A427" s="49"/>
      <c r="C427" s="4"/>
    </row>
    <row r="428" spans="1:3" ht="13.2" x14ac:dyDescent="0.25">
      <c r="A428" s="49"/>
      <c r="C428" s="4"/>
    </row>
    <row r="429" spans="1:3" ht="13.2" x14ac:dyDescent="0.25">
      <c r="A429" s="49"/>
      <c r="C429" s="4"/>
    </row>
    <row r="430" spans="1:3" ht="13.2" x14ac:dyDescent="0.25">
      <c r="A430" s="49"/>
      <c r="C430" s="4"/>
    </row>
    <row r="431" spans="1:3" ht="13.2" x14ac:dyDescent="0.25">
      <c r="A431" s="49"/>
      <c r="C431" s="4"/>
    </row>
    <row r="432" spans="1:3" ht="13.2" x14ac:dyDescent="0.25">
      <c r="A432" s="49"/>
      <c r="C432" s="4"/>
    </row>
    <row r="433" spans="1:3" ht="13.2" x14ac:dyDescent="0.25">
      <c r="A433" s="49"/>
      <c r="C433" s="4"/>
    </row>
    <row r="434" spans="1:3" ht="13.2" x14ac:dyDescent="0.25">
      <c r="A434" s="49"/>
      <c r="C434" s="4"/>
    </row>
    <row r="435" spans="1:3" ht="13.2" x14ac:dyDescent="0.25">
      <c r="A435" s="49"/>
      <c r="C435" s="4"/>
    </row>
    <row r="436" spans="1:3" ht="13.2" x14ac:dyDescent="0.25">
      <c r="A436" s="49"/>
      <c r="C436" s="4"/>
    </row>
    <row r="437" spans="1:3" ht="13.2" x14ac:dyDescent="0.25">
      <c r="A437" s="49"/>
      <c r="C437" s="4"/>
    </row>
    <row r="438" spans="1:3" ht="13.2" x14ac:dyDescent="0.25">
      <c r="A438" s="49"/>
      <c r="C438" s="4"/>
    </row>
    <row r="439" spans="1:3" ht="13.2" x14ac:dyDescent="0.25">
      <c r="A439" s="49"/>
      <c r="C439" s="4"/>
    </row>
    <row r="440" spans="1:3" ht="13.2" x14ac:dyDescent="0.25">
      <c r="A440" s="49"/>
      <c r="C440" s="4"/>
    </row>
    <row r="441" spans="1:3" ht="13.2" x14ac:dyDescent="0.25">
      <c r="A441" s="49"/>
      <c r="C441" s="4"/>
    </row>
    <row r="442" spans="1:3" ht="13.2" x14ac:dyDescent="0.25">
      <c r="A442" s="49"/>
      <c r="C442" s="4"/>
    </row>
    <row r="443" spans="1:3" ht="13.2" x14ac:dyDescent="0.25">
      <c r="A443" s="49"/>
      <c r="C443" s="4"/>
    </row>
    <row r="444" spans="1:3" ht="13.2" x14ac:dyDescent="0.25">
      <c r="A444" s="49"/>
      <c r="C444" s="4"/>
    </row>
    <row r="445" spans="1:3" ht="13.2" x14ac:dyDescent="0.25">
      <c r="A445" s="49"/>
      <c r="C445" s="4"/>
    </row>
    <row r="446" spans="1:3" ht="13.2" x14ac:dyDescent="0.25">
      <c r="A446" s="49"/>
      <c r="C446" s="4"/>
    </row>
    <row r="447" spans="1:3" ht="13.2" x14ac:dyDescent="0.25">
      <c r="A447" s="49"/>
      <c r="C447" s="4"/>
    </row>
    <row r="448" spans="1:3" ht="13.2" x14ac:dyDescent="0.25">
      <c r="A448" s="49"/>
      <c r="C448" s="4"/>
    </row>
    <row r="449" spans="1:3" ht="13.2" x14ac:dyDescent="0.25">
      <c r="A449" s="49"/>
      <c r="C449" s="4"/>
    </row>
    <row r="450" spans="1:3" ht="13.2" x14ac:dyDescent="0.25">
      <c r="A450" s="49"/>
      <c r="C450" s="4"/>
    </row>
    <row r="451" spans="1:3" ht="13.2" x14ac:dyDescent="0.25">
      <c r="A451" s="49"/>
      <c r="C451" s="4"/>
    </row>
    <row r="452" spans="1:3" ht="13.2" x14ac:dyDescent="0.25">
      <c r="A452" s="49"/>
      <c r="C452" s="4"/>
    </row>
    <row r="453" spans="1:3" ht="13.2" x14ac:dyDescent="0.25">
      <c r="A453" s="49"/>
      <c r="C453" s="4"/>
    </row>
    <row r="454" spans="1:3" ht="13.2" x14ac:dyDescent="0.25">
      <c r="A454" s="49"/>
      <c r="C454" s="4"/>
    </row>
    <row r="455" spans="1:3" ht="13.2" x14ac:dyDescent="0.25">
      <c r="A455" s="49"/>
      <c r="C455" s="4"/>
    </row>
    <row r="456" spans="1:3" ht="13.2" x14ac:dyDescent="0.25">
      <c r="A456" s="49"/>
      <c r="C456" s="4"/>
    </row>
    <row r="457" spans="1:3" ht="13.2" x14ac:dyDescent="0.25">
      <c r="A457" s="49"/>
      <c r="C457" s="4"/>
    </row>
    <row r="458" spans="1:3" ht="13.2" x14ac:dyDescent="0.25">
      <c r="A458" s="49"/>
      <c r="C458" s="4"/>
    </row>
    <row r="459" spans="1:3" ht="13.2" x14ac:dyDescent="0.25">
      <c r="A459" s="49"/>
      <c r="C459" s="4"/>
    </row>
    <row r="460" spans="1:3" ht="13.2" x14ac:dyDescent="0.25">
      <c r="A460" s="49"/>
      <c r="C460" s="4"/>
    </row>
    <row r="461" spans="1:3" ht="13.2" x14ac:dyDescent="0.25">
      <c r="A461" s="49"/>
      <c r="C461" s="4"/>
    </row>
    <row r="462" spans="1:3" ht="13.2" x14ac:dyDescent="0.25">
      <c r="A462" s="49"/>
      <c r="C462" s="4"/>
    </row>
    <row r="463" spans="1:3" ht="13.2" x14ac:dyDescent="0.25">
      <c r="A463" s="49"/>
      <c r="C463" s="4"/>
    </row>
    <row r="464" spans="1:3" ht="13.2" x14ac:dyDescent="0.25">
      <c r="A464" s="49"/>
      <c r="C464" s="4"/>
    </row>
    <row r="465" spans="1:3" ht="13.2" x14ac:dyDescent="0.25">
      <c r="A465" s="49"/>
      <c r="C465" s="4"/>
    </row>
    <row r="466" spans="1:3" ht="13.2" x14ac:dyDescent="0.25">
      <c r="A466" s="49"/>
      <c r="C466" s="4"/>
    </row>
    <row r="467" spans="1:3" ht="13.2" x14ac:dyDescent="0.25">
      <c r="A467" s="49"/>
      <c r="C467" s="4"/>
    </row>
    <row r="468" spans="1:3" ht="13.2" x14ac:dyDescent="0.25">
      <c r="A468" s="49"/>
      <c r="C468" s="4"/>
    </row>
    <row r="469" spans="1:3" ht="13.2" x14ac:dyDescent="0.25">
      <c r="A469" s="49"/>
      <c r="C469" s="4"/>
    </row>
    <row r="470" spans="1:3" ht="13.2" x14ac:dyDescent="0.25">
      <c r="A470" s="49"/>
      <c r="C470" s="4"/>
    </row>
    <row r="471" spans="1:3" ht="13.2" x14ac:dyDescent="0.25">
      <c r="A471" s="49"/>
      <c r="C471" s="4"/>
    </row>
    <row r="472" spans="1:3" ht="13.2" x14ac:dyDescent="0.25">
      <c r="A472" s="49"/>
      <c r="C472" s="4"/>
    </row>
    <row r="473" spans="1:3" ht="13.2" x14ac:dyDescent="0.25">
      <c r="A473" s="49"/>
      <c r="C473" s="4"/>
    </row>
    <row r="474" spans="1:3" ht="13.2" x14ac:dyDescent="0.25">
      <c r="A474" s="49"/>
      <c r="C474" s="4"/>
    </row>
    <row r="475" spans="1:3" ht="13.2" x14ac:dyDescent="0.25">
      <c r="A475" s="49"/>
      <c r="C475" s="4"/>
    </row>
    <row r="476" spans="1:3" ht="13.2" x14ac:dyDescent="0.25">
      <c r="A476" s="49"/>
      <c r="C476" s="4"/>
    </row>
    <row r="477" spans="1:3" ht="13.2" x14ac:dyDescent="0.25">
      <c r="A477" s="49"/>
      <c r="C477" s="4"/>
    </row>
    <row r="478" spans="1:3" ht="13.2" x14ac:dyDescent="0.25">
      <c r="A478" s="49"/>
      <c r="C478" s="4"/>
    </row>
    <row r="479" spans="1:3" ht="13.2" x14ac:dyDescent="0.25">
      <c r="A479" s="49"/>
      <c r="C479" s="4"/>
    </row>
    <row r="480" spans="1:3" ht="13.2" x14ac:dyDescent="0.25">
      <c r="A480" s="49"/>
      <c r="C480" s="4"/>
    </row>
    <row r="481" spans="1:3" ht="13.2" x14ac:dyDescent="0.25">
      <c r="A481" s="49"/>
      <c r="C481" s="4"/>
    </row>
    <row r="482" spans="1:3" ht="13.2" x14ac:dyDescent="0.25">
      <c r="A482" s="49"/>
      <c r="C482" s="4"/>
    </row>
    <row r="483" spans="1:3" ht="13.2" x14ac:dyDescent="0.25">
      <c r="A483" s="49"/>
      <c r="C483" s="4"/>
    </row>
    <row r="484" spans="1:3" ht="13.2" x14ac:dyDescent="0.25">
      <c r="A484" s="49"/>
      <c r="C484" s="4"/>
    </row>
    <row r="485" spans="1:3" ht="13.2" x14ac:dyDescent="0.25">
      <c r="A485" s="49"/>
      <c r="C485" s="4"/>
    </row>
    <row r="486" spans="1:3" ht="13.2" x14ac:dyDescent="0.25">
      <c r="A486" s="49"/>
      <c r="C486" s="4"/>
    </row>
    <row r="487" spans="1:3" ht="13.2" x14ac:dyDescent="0.25">
      <c r="A487" s="49"/>
      <c r="C487" s="4"/>
    </row>
    <row r="488" spans="1:3" ht="13.2" x14ac:dyDescent="0.25">
      <c r="A488" s="49"/>
      <c r="C488" s="4"/>
    </row>
    <row r="489" spans="1:3" ht="13.2" x14ac:dyDescent="0.25">
      <c r="A489" s="49"/>
      <c r="C489" s="4"/>
    </row>
    <row r="490" spans="1:3" ht="13.2" x14ac:dyDescent="0.25">
      <c r="A490" s="49"/>
      <c r="C490" s="4"/>
    </row>
    <row r="491" spans="1:3" ht="13.2" x14ac:dyDescent="0.25">
      <c r="A491" s="49"/>
      <c r="C491" s="4"/>
    </row>
    <row r="492" spans="1:3" ht="13.2" x14ac:dyDescent="0.25">
      <c r="A492" s="49"/>
      <c r="C492" s="4"/>
    </row>
    <row r="493" spans="1:3" ht="13.2" x14ac:dyDescent="0.25">
      <c r="A493" s="49"/>
      <c r="C493" s="4"/>
    </row>
    <row r="494" spans="1:3" ht="13.2" x14ac:dyDescent="0.25">
      <c r="A494" s="49"/>
      <c r="C494" s="4"/>
    </row>
    <row r="495" spans="1:3" ht="13.2" x14ac:dyDescent="0.25">
      <c r="A495" s="49"/>
      <c r="C495" s="4"/>
    </row>
    <row r="496" spans="1:3" ht="13.2" x14ac:dyDescent="0.25">
      <c r="A496" s="49"/>
      <c r="C496" s="4"/>
    </row>
    <row r="497" spans="1:3" ht="13.2" x14ac:dyDescent="0.25">
      <c r="A497" s="49"/>
      <c r="C497" s="4"/>
    </row>
    <row r="498" spans="1:3" ht="13.2" x14ac:dyDescent="0.25">
      <c r="A498" s="49"/>
      <c r="C498" s="4"/>
    </row>
    <row r="499" spans="1:3" ht="13.2" x14ac:dyDescent="0.25">
      <c r="A499" s="49"/>
      <c r="C499" s="4"/>
    </row>
    <row r="500" spans="1:3" ht="13.2" x14ac:dyDescent="0.25">
      <c r="A500" s="49"/>
      <c r="C500" s="4"/>
    </row>
    <row r="501" spans="1:3" ht="13.2" x14ac:dyDescent="0.25">
      <c r="A501" s="49"/>
      <c r="C501" s="4"/>
    </row>
    <row r="502" spans="1:3" ht="13.2" x14ac:dyDescent="0.25">
      <c r="A502" s="49"/>
      <c r="C502" s="4"/>
    </row>
    <row r="503" spans="1:3" ht="13.2" x14ac:dyDescent="0.25">
      <c r="A503" s="49"/>
      <c r="C503" s="4"/>
    </row>
    <row r="504" spans="1:3" ht="13.2" x14ac:dyDescent="0.25">
      <c r="A504" s="49"/>
      <c r="C504" s="4"/>
    </row>
    <row r="505" spans="1:3" ht="13.2" x14ac:dyDescent="0.25">
      <c r="A505" s="49"/>
      <c r="C505" s="4"/>
    </row>
    <row r="506" spans="1:3" ht="13.2" x14ac:dyDescent="0.25">
      <c r="A506" s="49"/>
      <c r="C506" s="4"/>
    </row>
    <row r="507" spans="1:3" ht="13.2" x14ac:dyDescent="0.25">
      <c r="A507" s="49"/>
      <c r="C507" s="4"/>
    </row>
    <row r="508" spans="1:3" ht="13.2" x14ac:dyDescent="0.25">
      <c r="A508" s="49"/>
      <c r="C508" s="4"/>
    </row>
    <row r="509" spans="1:3" ht="13.2" x14ac:dyDescent="0.25">
      <c r="A509" s="49"/>
      <c r="C509" s="4"/>
    </row>
    <row r="510" spans="1:3" ht="13.2" x14ac:dyDescent="0.25">
      <c r="A510" s="49"/>
      <c r="C510" s="4"/>
    </row>
    <row r="511" spans="1:3" ht="13.2" x14ac:dyDescent="0.25">
      <c r="A511" s="49"/>
      <c r="C511" s="4"/>
    </row>
    <row r="512" spans="1:3" ht="13.2" x14ac:dyDescent="0.25">
      <c r="A512" s="49"/>
      <c r="C512" s="4"/>
    </row>
    <row r="513" spans="1:3" ht="13.2" x14ac:dyDescent="0.25">
      <c r="A513" s="49"/>
      <c r="C513" s="4"/>
    </row>
    <row r="514" spans="1:3" ht="13.2" x14ac:dyDescent="0.25">
      <c r="A514" s="49"/>
      <c r="C514" s="4"/>
    </row>
    <row r="515" spans="1:3" ht="13.2" x14ac:dyDescent="0.25">
      <c r="A515" s="49"/>
      <c r="C515" s="4"/>
    </row>
    <row r="516" spans="1:3" ht="13.2" x14ac:dyDescent="0.25">
      <c r="A516" s="49"/>
      <c r="C516" s="4"/>
    </row>
    <row r="517" spans="1:3" ht="13.2" x14ac:dyDescent="0.25">
      <c r="A517" s="49"/>
      <c r="C517" s="4"/>
    </row>
    <row r="518" spans="1:3" ht="13.2" x14ac:dyDescent="0.25">
      <c r="A518" s="49"/>
      <c r="C518" s="4"/>
    </row>
    <row r="519" spans="1:3" ht="13.2" x14ac:dyDescent="0.25">
      <c r="A519" s="49"/>
      <c r="C519" s="4"/>
    </row>
    <row r="520" spans="1:3" ht="13.2" x14ac:dyDescent="0.25">
      <c r="A520" s="49"/>
      <c r="C520" s="4"/>
    </row>
    <row r="521" spans="1:3" ht="13.2" x14ac:dyDescent="0.25">
      <c r="A521" s="49"/>
      <c r="C521" s="4"/>
    </row>
    <row r="522" spans="1:3" ht="13.2" x14ac:dyDescent="0.25">
      <c r="A522" s="49"/>
      <c r="C522" s="4"/>
    </row>
    <row r="523" spans="1:3" ht="13.2" x14ac:dyDescent="0.25">
      <c r="A523" s="49"/>
      <c r="C523" s="4"/>
    </row>
    <row r="524" spans="1:3" ht="13.2" x14ac:dyDescent="0.25">
      <c r="A524" s="49"/>
      <c r="C524" s="4"/>
    </row>
    <row r="525" spans="1:3" ht="13.2" x14ac:dyDescent="0.25">
      <c r="A525" s="49"/>
      <c r="C525" s="4"/>
    </row>
    <row r="526" spans="1:3" ht="13.2" x14ac:dyDescent="0.25">
      <c r="A526" s="49"/>
      <c r="C526" s="4"/>
    </row>
    <row r="527" spans="1:3" ht="13.2" x14ac:dyDescent="0.25">
      <c r="A527" s="49"/>
      <c r="C527" s="4"/>
    </row>
    <row r="528" spans="1:3" ht="13.2" x14ac:dyDescent="0.25">
      <c r="A528" s="49"/>
      <c r="C528" s="4"/>
    </row>
    <row r="529" spans="1:3" ht="13.2" x14ac:dyDescent="0.25">
      <c r="A529" s="49"/>
      <c r="C529" s="4"/>
    </row>
    <row r="530" spans="1:3" ht="13.2" x14ac:dyDescent="0.25">
      <c r="A530" s="49"/>
      <c r="C530" s="4"/>
    </row>
    <row r="531" spans="1:3" ht="13.2" x14ac:dyDescent="0.25">
      <c r="A531" s="49"/>
      <c r="C531" s="4"/>
    </row>
    <row r="532" spans="1:3" ht="13.2" x14ac:dyDescent="0.25">
      <c r="A532" s="49"/>
      <c r="C532" s="4"/>
    </row>
    <row r="533" spans="1:3" ht="13.2" x14ac:dyDescent="0.25">
      <c r="A533" s="49"/>
      <c r="C533" s="4"/>
    </row>
    <row r="534" spans="1:3" ht="13.2" x14ac:dyDescent="0.25">
      <c r="A534" s="49"/>
      <c r="C534" s="4"/>
    </row>
    <row r="535" spans="1:3" ht="13.2" x14ac:dyDescent="0.25">
      <c r="A535" s="49"/>
      <c r="C535" s="4"/>
    </row>
    <row r="536" spans="1:3" ht="13.2" x14ac:dyDescent="0.25">
      <c r="A536" s="49"/>
      <c r="C536" s="4"/>
    </row>
    <row r="537" spans="1:3" ht="13.2" x14ac:dyDescent="0.25">
      <c r="A537" s="49"/>
      <c r="C537" s="4"/>
    </row>
    <row r="538" spans="1:3" ht="13.2" x14ac:dyDescent="0.25">
      <c r="A538" s="49"/>
      <c r="C538" s="4"/>
    </row>
    <row r="539" spans="1:3" ht="13.2" x14ac:dyDescent="0.25">
      <c r="A539" s="49"/>
      <c r="C539" s="4"/>
    </row>
    <row r="540" spans="1:3" ht="13.2" x14ac:dyDescent="0.25">
      <c r="A540" s="49"/>
      <c r="C540" s="4"/>
    </row>
    <row r="541" spans="1:3" ht="13.2" x14ac:dyDescent="0.25">
      <c r="A541" s="49"/>
      <c r="C541" s="4"/>
    </row>
    <row r="542" spans="1:3" ht="13.2" x14ac:dyDescent="0.25">
      <c r="A542" s="49"/>
      <c r="C542" s="4"/>
    </row>
    <row r="543" spans="1:3" ht="13.2" x14ac:dyDescent="0.25">
      <c r="A543" s="49"/>
      <c r="C543" s="4"/>
    </row>
    <row r="544" spans="1:3" ht="13.2" x14ac:dyDescent="0.25">
      <c r="A544" s="49"/>
      <c r="C544" s="4"/>
    </row>
    <row r="545" spans="1:3" ht="13.2" x14ac:dyDescent="0.25">
      <c r="A545" s="49"/>
      <c r="C545" s="4"/>
    </row>
    <row r="546" spans="1:3" ht="13.2" x14ac:dyDescent="0.25">
      <c r="A546" s="49"/>
      <c r="C546" s="4"/>
    </row>
    <row r="547" spans="1:3" ht="13.2" x14ac:dyDescent="0.25">
      <c r="A547" s="49"/>
      <c r="C547" s="4"/>
    </row>
    <row r="548" spans="1:3" ht="13.2" x14ac:dyDescent="0.25">
      <c r="A548" s="49"/>
      <c r="C548" s="4"/>
    </row>
    <row r="549" spans="1:3" ht="13.2" x14ac:dyDescent="0.25">
      <c r="A549" s="49"/>
      <c r="C549" s="4"/>
    </row>
    <row r="550" spans="1:3" ht="13.2" x14ac:dyDescent="0.25">
      <c r="A550" s="49"/>
      <c r="C550" s="4"/>
    </row>
    <row r="551" spans="1:3" ht="13.2" x14ac:dyDescent="0.25">
      <c r="A551" s="49"/>
      <c r="C551" s="4"/>
    </row>
    <row r="552" spans="1:3" ht="13.2" x14ac:dyDescent="0.25">
      <c r="A552" s="49"/>
      <c r="C552" s="4"/>
    </row>
    <row r="553" spans="1:3" ht="13.2" x14ac:dyDescent="0.25">
      <c r="A553" s="49"/>
      <c r="C553" s="4"/>
    </row>
    <row r="554" spans="1:3" ht="13.2" x14ac:dyDescent="0.25">
      <c r="A554" s="49"/>
      <c r="C554" s="4"/>
    </row>
    <row r="555" spans="1:3" ht="13.2" x14ac:dyDescent="0.25">
      <c r="A555" s="49"/>
      <c r="C555" s="4"/>
    </row>
    <row r="556" spans="1:3" ht="13.2" x14ac:dyDescent="0.25">
      <c r="A556" s="49"/>
      <c r="C556" s="4"/>
    </row>
    <row r="557" spans="1:3" ht="13.2" x14ac:dyDescent="0.25">
      <c r="A557" s="49"/>
      <c r="C557" s="4"/>
    </row>
    <row r="558" spans="1:3" ht="13.2" x14ac:dyDescent="0.25">
      <c r="A558" s="49"/>
      <c r="C558" s="4"/>
    </row>
    <row r="559" spans="1:3" ht="13.2" x14ac:dyDescent="0.25">
      <c r="A559" s="49"/>
      <c r="C559" s="4"/>
    </row>
    <row r="560" spans="1:3" ht="13.2" x14ac:dyDescent="0.25">
      <c r="A560" s="49"/>
      <c r="C560" s="4"/>
    </row>
    <row r="561" spans="1:3" ht="13.2" x14ac:dyDescent="0.25">
      <c r="A561" s="49"/>
      <c r="C561" s="4"/>
    </row>
    <row r="562" spans="1:3" ht="13.2" x14ac:dyDescent="0.25">
      <c r="A562" s="49"/>
      <c r="C562" s="4"/>
    </row>
    <row r="563" spans="1:3" ht="13.2" x14ac:dyDescent="0.25">
      <c r="A563" s="49"/>
      <c r="C563" s="4"/>
    </row>
    <row r="564" spans="1:3" ht="13.2" x14ac:dyDescent="0.25">
      <c r="A564" s="49"/>
      <c r="C564" s="4"/>
    </row>
    <row r="565" spans="1:3" ht="13.2" x14ac:dyDescent="0.25">
      <c r="A565" s="49"/>
      <c r="C565" s="4"/>
    </row>
    <row r="566" spans="1:3" ht="13.2" x14ac:dyDescent="0.25">
      <c r="A566" s="49"/>
      <c r="C566" s="4"/>
    </row>
    <row r="567" spans="1:3" ht="13.2" x14ac:dyDescent="0.25">
      <c r="A567" s="49"/>
      <c r="C567" s="4"/>
    </row>
    <row r="568" spans="1:3" ht="13.2" x14ac:dyDescent="0.25">
      <c r="A568" s="49"/>
      <c r="C568" s="4"/>
    </row>
    <row r="569" spans="1:3" ht="13.2" x14ac:dyDescent="0.25">
      <c r="A569" s="49"/>
      <c r="C569" s="4"/>
    </row>
    <row r="570" spans="1:3" ht="13.2" x14ac:dyDescent="0.25">
      <c r="A570" s="49"/>
      <c r="C570" s="4"/>
    </row>
    <row r="571" spans="1:3" ht="13.2" x14ac:dyDescent="0.25">
      <c r="A571" s="49"/>
      <c r="C571" s="4"/>
    </row>
    <row r="572" spans="1:3" ht="13.2" x14ac:dyDescent="0.25">
      <c r="A572" s="49"/>
      <c r="C572" s="4"/>
    </row>
    <row r="573" spans="1:3" ht="13.2" x14ac:dyDescent="0.25">
      <c r="A573" s="49"/>
      <c r="C573" s="4"/>
    </row>
    <row r="574" spans="1:3" ht="13.2" x14ac:dyDescent="0.25">
      <c r="A574" s="49"/>
      <c r="C574" s="4"/>
    </row>
    <row r="575" spans="1:3" ht="13.2" x14ac:dyDescent="0.25">
      <c r="A575" s="49"/>
      <c r="C575" s="4"/>
    </row>
    <row r="576" spans="1:3" ht="13.2" x14ac:dyDescent="0.25">
      <c r="A576" s="49"/>
      <c r="C576" s="4"/>
    </row>
    <row r="577" spans="1:3" ht="13.2" x14ac:dyDescent="0.25">
      <c r="A577" s="49"/>
      <c r="C577" s="4"/>
    </row>
    <row r="578" spans="1:3" ht="13.2" x14ac:dyDescent="0.25">
      <c r="A578" s="49"/>
      <c r="C578" s="4"/>
    </row>
    <row r="579" spans="1:3" ht="13.2" x14ac:dyDescent="0.25">
      <c r="A579" s="49"/>
      <c r="C579" s="4"/>
    </row>
    <row r="580" spans="1:3" ht="13.2" x14ac:dyDescent="0.25">
      <c r="A580" s="49"/>
      <c r="C580" s="4"/>
    </row>
    <row r="581" spans="1:3" ht="13.2" x14ac:dyDescent="0.25">
      <c r="A581" s="49"/>
      <c r="C581" s="4"/>
    </row>
    <row r="582" spans="1:3" ht="13.2" x14ac:dyDescent="0.25">
      <c r="A582" s="49"/>
      <c r="C582" s="4"/>
    </row>
    <row r="583" spans="1:3" ht="13.2" x14ac:dyDescent="0.25">
      <c r="A583" s="49"/>
      <c r="C583" s="4"/>
    </row>
    <row r="584" spans="1:3" ht="13.2" x14ac:dyDescent="0.25">
      <c r="A584" s="49"/>
      <c r="C584" s="4"/>
    </row>
    <row r="585" spans="1:3" ht="13.2" x14ac:dyDescent="0.25">
      <c r="A585" s="49"/>
      <c r="C585" s="4"/>
    </row>
    <row r="586" spans="1:3" ht="13.2" x14ac:dyDescent="0.25">
      <c r="A586" s="49"/>
      <c r="C586" s="4"/>
    </row>
    <row r="587" spans="1:3" ht="13.2" x14ac:dyDescent="0.25">
      <c r="A587" s="49"/>
      <c r="C587" s="4"/>
    </row>
    <row r="588" spans="1:3" ht="13.2" x14ac:dyDescent="0.25">
      <c r="A588" s="49"/>
      <c r="C588" s="4"/>
    </row>
    <row r="589" spans="1:3" ht="13.2" x14ac:dyDescent="0.25">
      <c r="A589" s="49"/>
      <c r="C589" s="4"/>
    </row>
    <row r="590" spans="1:3" ht="13.2" x14ac:dyDescent="0.25">
      <c r="A590" s="49"/>
      <c r="C590" s="4"/>
    </row>
    <row r="591" spans="1:3" ht="13.2" x14ac:dyDescent="0.25">
      <c r="A591" s="49"/>
      <c r="C591" s="4"/>
    </row>
    <row r="592" spans="1:3" ht="13.2" x14ac:dyDescent="0.25">
      <c r="A592" s="49"/>
      <c r="C592" s="4"/>
    </row>
    <row r="593" spans="1:3" ht="13.2" x14ac:dyDescent="0.25">
      <c r="A593" s="49"/>
      <c r="C593" s="4"/>
    </row>
    <row r="594" spans="1:3" ht="13.2" x14ac:dyDescent="0.25">
      <c r="A594" s="49"/>
      <c r="C594" s="4"/>
    </row>
    <row r="595" spans="1:3" ht="13.2" x14ac:dyDescent="0.25">
      <c r="A595" s="49"/>
      <c r="C595" s="4"/>
    </row>
    <row r="596" spans="1:3" ht="13.2" x14ac:dyDescent="0.25">
      <c r="A596" s="49"/>
      <c r="C596" s="4"/>
    </row>
    <row r="597" spans="1:3" ht="13.2" x14ac:dyDescent="0.25">
      <c r="A597" s="49"/>
      <c r="C597" s="4"/>
    </row>
    <row r="598" spans="1:3" ht="13.2" x14ac:dyDescent="0.25">
      <c r="A598" s="49"/>
      <c r="C598" s="4"/>
    </row>
    <row r="599" spans="1:3" ht="13.2" x14ac:dyDescent="0.25">
      <c r="A599" s="49"/>
      <c r="C599" s="4"/>
    </row>
    <row r="600" spans="1:3" ht="13.2" x14ac:dyDescent="0.25">
      <c r="A600" s="49"/>
      <c r="C600" s="4"/>
    </row>
    <row r="601" spans="1:3" ht="13.2" x14ac:dyDescent="0.25">
      <c r="A601" s="49"/>
      <c r="C601" s="4"/>
    </row>
    <row r="602" spans="1:3" ht="13.2" x14ac:dyDescent="0.25">
      <c r="A602" s="49"/>
      <c r="C602" s="4"/>
    </row>
    <row r="603" spans="1:3" ht="13.2" x14ac:dyDescent="0.25">
      <c r="A603" s="49"/>
      <c r="C603" s="4"/>
    </row>
    <row r="604" spans="1:3" ht="13.2" x14ac:dyDescent="0.25">
      <c r="A604" s="49"/>
      <c r="C604" s="4"/>
    </row>
    <row r="605" spans="1:3" ht="13.2" x14ac:dyDescent="0.25">
      <c r="A605" s="49"/>
      <c r="C605" s="4"/>
    </row>
    <row r="606" spans="1:3" ht="13.2" x14ac:dyDescent="0.25">
      <c r="A606" s="49"/>
      <c r="C606" s="4"/>
    </row>
    <row r="607" spans="1:3" ht="13.2" x14ac:dyDescent="0.25">
      <c r="A607" s="49"/>
      <c r="C607" s="4"/>
    </row>
    <row r="608" spans="1:3" ht="13.2" x14ac:dyDescent="0.25">
      <c r="A608" s="49"/>
      <c r="C608" s="4"/>
    </row>
    <row r="609" spans="1:3" ht="13.2" x14ac:dyDescent="0.25">
      <c r="A609" s="49"/>
      <c r="C609" s="4"/>
    </row>
    <row r="610" spans="1:3" ht="13.2" x14ac:dyDescent="0.25">
      <c r="A610" s="49"/>
      <c r="C610" s="4"/>
    </row>
    <row r="611" spans="1:3" ht="13.2" x14ac:dyDescent="0.25">
      <c r="A611" s="49"/>
      <c r="C611" s="4"/>
    </row>
    <row r="612" spans="1:3" ht="13.2" x14ac:dyDescent="0.25">
      <c r="A612" s="49"/>
      <c r="C612" s="4"/>
    </row>
    <row r="613" spans="1:3" ht="13.2" x14ac:dyDescent="0.25">
      <c r="A613" s="49"/>
      <c r="C613" s="4"/>
    </row>
    <row r="614" spans="1:3" ht="13.2" x14ac:dyDescent="0.25">
      <c r="A614" s="49"/>
      <c r="C614" s="4"/>
    </row>
    <row r="615" spans="1:3" ht="13.2" x14ac:dyDescent="0.25">
      <c r="A615" s="49"/>
      <c r="C615" s="4"/>
    </row>
    <row r="616" spans="1:3" ht="13.2" x14ac:dyDescent="0.25">
      <c r="A616" s="49"/>
      <c r="C616" s="4"/>
    </row>
    <row r="617" spans="1:3" ht="13.2" x14ac:dyDescent="0.25">
      <c r="A617" s="49"/>
      <c r="C617" s="4"/>
    </row>
    <row r="618" spans="1:3" ht="13.2" x14ac:dyDescent="0.25">
      <c r="A618" s="49"/>
      <c r="C618" s="4"/>
    </row>
    <row r="619" spans="1:3" ht="13.2" x14ac:dyDescent="0.25">
      <c r="A619" s="49"/>
      <c r="C619" s="4"/>
    </row>
    <row r="620" spans="1:3" ht="13.2" x14ac:dyDescent="0.25">
      <c r="A620" s="49"/>
      <c r="C620" s="4"/>
    </row>
    <row r="621" spans="1:3" ht="13.2" x14ac:dyDescent="0.25">
      <c r="A621" s="49"/>
      <c r="C621" s="4"/>
    </row>
    <row r="622" spans="1:3" ht="13.2" x14ac:dyDescent="0.25">
      <c r="A622" s="49"/>
      <c r="C622" s="4"/>
    </row>
    <row r="623" spans="1:3" ht="13.2" x14ac:dyDescent="0.25">
      <c r="A623" s="49"/>
      <c r="C623" s="4"/>
    </row>
    <row r="624" spans="1:3" ht="13.2" x14ac:dyDescent="0.25">
      <c r="A624" s="49"/>
      <c r="C624" s="4"/>
    </row>
    <row r="625" spans="1:3" ht="13.2" x14ac:dyDescent="0.25">
      <c r="A625" s="49"/>
      <c r="C625" s="4"/>
    </row>
    <row r="626" spans="1:3" ht="13.2" x14ac:dyDescent="0.25">
      <c r="A626" s="49"/>
      <c r="C626" s="4"/>
    </row>
    <row r="627" spans="1:3" ht="13.2" x14ac:dyDescent="0.25">
      <c r="A627" s="49"/>
      <c r="C627" s="4"/>
    </row>
    <row r="628" spans="1:3" ht="13.2" x14ac:dyDescent="0.25">
      <c r="A628" s="49"/>
      <c r="C628" s="4"/>
    </row>
    <row r="629" spans="1:3" ht="13.2" x14ac:dyDescent="0.25">
      <c r="A629" s="49"/>
      <c r="C629" s="4"/>
    </row>
    <row r="630" spans="1:3" ht="13.2" x14ac:dyDescent="0.25">
      <c r="A630" s="49"/>
      <c r="C630" s="4"/>
    </row>
    <row r="631" spans="1:3" ht="13.2" x14ac:dyDescent="0.25">
      <c r="A631" s="49"/>
      <c r="C631" s="4"/>
    </row>
    <row r="632" spans="1:3" ht="13.2" x14ac:dyDescent="0.25">
      <c r="A632" s="49"/>
      <c r="C632" s="4"/>
    </row>
    <row r="633" spans="1:3" ht="13.2" x14ac:dyDescent="0.25">
      <c r="A633" s="49"/>
      <c r="C633" s="4"/>
    </row>
    <row r="634" spans="1:3" ht="13.2" x14ac:dyDescent="0.25">
      <c r="A634" s="49"/>
      <c r="C634" s="4"/>
    </row>
    <row r="635" spans="1:3" ht="13.2" x14ac:dyDescent="0.25">
      <c r="A635" s="49"/>
      <c r="C635" s="4"/>
    </row>
    <row r="636" spans="1:3" ht="13.2" x14ac:dyDescent="0.25">
      <c r="A636" s="49"/>
      <c r="C636" s="4"/>
    </row>
    <row r="637" spans="1:3" ht="13.2" x14ac:dyDescent="0.25">
      <c r="A637" s="49"/>
      <c r="C637" s="4"/>
    </row>
    <row r="638" spans="1:3" ht="13.2" x14ac:dyDescent="0.25">
      <c r="A638" s="49"/>
      <c r="C638" s="4"/>
    </row>
    <row r="639" spans="1:3" ht="13.2" x14ac:dyDescent="0.25">
      <c r="A639" s="49"/>
      <c r="C639" s="4"/>
    </row>
    <row r="640" spans="1:3" ht="13.2" x14ac:dyDescent="0.25">
      <c r="A640" s="49"/>
      <c r="C640" s="4"/>
    </row>
    <row r="641" spans="1:3" ht="13.2" x14ac:dyDescent="0.25">
      <c r="A641" s="49"/>
      <c r="C641" s="4"/>
    </row>
    <row r="642" spans="1:3" ht="13.2" x14ac:dyDescent="0.25">
      <c r="A642" s="49"/>
      <c r="C642" s="4"/>
    </row>
    <row r="643" spans="1:3" ht="13.2" x14ac:dyDescent="0.25">
      <c r="A643" s="49"/>
      <c r="C643" s="4"/>
    </row>
    <row r="644" spans="1:3" ht="13.2" x14ac:dyDescent="0.25">
      <c r="A644" s="49"/>
      <c r="C644" s="4"/>
    </row>
    <row r="645" spans="1:3" ht="13.2" x14ac:dyDescent="0.25">
      <c r="A645" s="49"/>
      <c r="C645" s="4"/>
    </row>
    <row r="646" spans="1:3" ht="13.2" x14ac:dyDescent="0.25">
      <c r="A646" s="49"/>
      <c r="C646" s="4"/>
    </row>
    <row r="647" spans="1:3" ht="13.2" x14ac:dyDescent="0.25">
      <c r="A647" s="49"/>
      <c r="C647" s="4"/>
    </row>
    <row r="648" spans="1:3" ht="13.2" x14ac:dyDescent="0.25">
      <c r="A648" s="49"/>
      <c r="C648" s="4"/>
    </row>
    <row r="649" spans="1:3" ht="13.2" x14ac:dyDescent="0.25">
      <c r="A649" s="49"/>
      <c r="C649" s="4"/>
    </row>
    <row r="650" spans="1:3" ht="13.2" x14ac:dyDescent="0.25">
      <c r="A650" s="49"/>
      <c r="C650" s="4"/>
    </row>
    <row r="651" spans="1:3" ht="13.2" x14ac:dyDescent="0.25">
      <c r="A651" s="49"/>
      <c r="C651" s="4"/>
    </row>
    <row r="652" spans="1:3" ht="13.2" x14ac:dyDescent="0.25">
      <c r="A652" s="49"/>
      <c r="C652" s="4"/>
    </row>
    <row r="653" spans="1:3" ht="13.2" x14ac:dyDescent="0.25">
      <c r="A653" s="49"/>
      <c r="C653" s="4"/>
    </row>
    <row r="654" spans="1:3" ht="13.2" x14ac:dyDescent="0.25">
      <c r="A654" s="49"/>
      <c r="C654" s="4"/>
    </row>
    <row r="655" spans="1:3" ht="13.2" x14ac:dyDescent="0.25">
      <c r="A655" s="49"/>
      <c r="C655" s="4"/>
    </row>
    <row r="656" spans="1:3" ht="13.2" x14ac:dyDescent="0.25">
      <c r="A656" s="49"/>
      <c r="C656" s="4"/>
    </row>
    <row r="657" spans="1:3" ht="13.2" x14ac:dyDescent="0.25">
      <c r="A657" s="49"/>
      <c r="C657" s="4"/>
    </row>
    <row r="658" spans="1:3" ht="13.2" x14ac:dyDescent="0.25">
      <c r="A658" s="49"/>
      <c r="C658" s="4"/>
    </row>
    <row r="659" spans="1:3" ht="13.2" x14ac:dyDescent="0.25">
      <c r="A659" s="49"/>
      <c r="C659" s="4"/>
    </row>
    <row r="660" spans="1:3" ht="13.2" x14ac:dyDescent="0.25">
      <c r="A660" s="49"/>
      <c r="C660" s="4"/>
    </row>
    <row r="661" spans="1:3" ht="13.2" x14ac:dyDescent="0.25">
      <c r="A661" s="49"/>
      <c r="C661" s="4"/>
    </row>
    <row r="662" spans="1:3" ht="13.2" x14ac:dyDescent="0.25">
      <c r="A662" s="49"/>
      <c r="C662" s="4"/>
    </row>
    <row r="663" spans="1:3" ht="13.2" x14ac:dyDescent="0.25">
      <c r="A663" s="49"/>
      <c r="C663" s="4"/>
    </row>
    <row r="664" spans="1:3" ht="13.2" x14ac:dyDescent="0.25">
      <c r="A664" s="49"/>
      <c r="C664" s="4"/>
    </row>
    <row r="665" spans="1:3" ht="13.2" x14ac:dyDescent="0.25">
      <c r="A665" s="49"/>
      <c r="C665" s="4"/>
    </row>
    <row r="666" spans="1:3" ht="13.2" x14ac:dyDescent="0.25">
      <c r="A666" s="49"/>
      <c r="C666" s="4"/>
    </row>
    <row r="667" spans="1:3" ht="13.2" x14ac:dyDescent="0.25">
      <c r="A667" s="49"/>
      <c r="C667" s="4"/>
    </row>
    <row r="668" spans="1:3" ht="13.2" x14ac:dyDescent="0.25">
      <c r="A668" s="49"/>
      <c r="C668" s="4"/>
    </row>
    <row r="669" spans="1:3" ht="13.2" x14ac:dyDescent="0.25">
      <c r="A669" s="49"/>
      <c r="C669" s="4"/>
    </row>
    <row r="670" spans="1:3" ht="13.2" x14ac:dyDescent="0.25">
      <c r="A670" s="49"/>
      <c r="C670" s="4"/>
    </row>
    <row r="671" spans="1:3" ht="13.2" x14ac:dyDescent="0.25">
      <c r="A671" s="49"/>
      <c r="C671" s="4"/>
    </row>
    <row r="672" spans="1:3" ht="13.2" x14ac:dyDescent="0.25">
      <c r="A672" s="49"/>
      <c r="C672" s="4"/>
    </row>
    <row r="673" spans="1:3" ht="13.2" x14ac:dyDescent="0.25">
      <c r="A673" s="49"/>
      <c r="C673" s="4"/>
    </row>
    <row r="674" spans="1:3" ht="13.2" x14ac:dyDescent="0.25">
      <c r="A674" s="49"/>
      <c r="C674" s="4"/>
    </row>
    <row r="675" spans="1:3" ht="13.2" x14ac:dyDescent="0.25">
      <c r="A675" s="49"/>
      <c r="C675" s="4"/>
    </row>
    <row r="676" spans="1:3" ht="13.2" x14ac:dyDescent="0.25">
      <c r="A676" s="49"/>
      <c r="C676" s="4"/>
    </row>
    <row r="677" spans="1:3" ht="13.2" x14ac:dyDescent="0.25">
      <c r="A677" s="49"/>
      <c r="C677" s="4"/>
    </row>
    <row r="678" spans="1:3" ht="13.2" x14ac:dyDescent="0.25">
      <c r="A678" s="49"/>
      <c r="C678" s="4"/>
    </row>
    <row r="679" spans="1:3" ht="13.2" x14ac:dyDescent="0.25">
      <c r="A679" s="49"/>
      <c r="C679" s="4"/>
    </row>
    <row r="680" spans="1:3" ht="13.2" x14ac:dyDescent="0.25">
      <c r="A680" s="49"/>
      <c r="C680" s="4"/>
    </row>
    <row r="681" spans="1:3" ht="13.2" x14ac:dyDescent="0.25">
      <c r="A681" s="49"/>
      <c r="C681" s="4"/>
    </row>
    <row r="682" spans="1:3" ht="13.2" x14ac:dyDescent="0.25">
      <c r="A682" s="49"/>
      <c r="C682" s="4"/>
    </row>
    <row r="683" spans="1:3" ht="13.2" x14ac:dyDescent="0.25">
      <c r="A683" s="49"/>
      <c r="C683" s="4"/>
    </row>
    <row r="684" spans="1:3" ht="13.2" x14ac:dyDescent="0.25">
      <c r="A684" s="49"/>
      <c r="C684" s="4"/>
    </row>
    <row r="685" spans="1:3" ht="13.2" x14ac:dyDescent="0.25">
      <c r="A685" s="49"/>
      <c r="C685" s="4"/>
    </row>
    <row r="686" spans="1:3" ht="13.2" x14ac:dyDescent="0.25">
      <c r="A686" s="49"/>
      <c r="C686" s="4"/>
    </row>
    <row r="687" spans="1:3" ht="13.2" x14ac:dyDescent="0.25">
      <c r="A687" s="49"/>
      <c r="C687" s="4"/>
    </row>
    <row r="688" spans="1:3" ht="13.2" x14ac:dyDescent="0.25">
      <c r="A688" s="49"/>
      <c r="C688" s="4"/>
    </row>
    <row r="689" spans="1:3" ht="13.2" x14ac:dyDescent="0.25">
      <c r="A689" s="49"/>
      <c r="C689" s="4"/>
    </row>
    <row r="690" spans="1:3" ht="13.2" x14ac:dyDescent="0.25">
      <c r="A690" s="49"/>
      <c r="C690" s="4"/>
    </row>
    <row r="691" spans="1:3" ht="13.2" x14ac:dyDescent="0.25">
      <c r="A691" s="49"/>
      <c r="C691" s="4"/>
    </row>
    <row r="692" spans="1:3" ht="13.2" x14ac:dyDescent="0.25">
      <c r="A692" s="49"/>
      <c r="C692" s="4"/>
    </row>
    <row r="693" spans="1:3" ht="13.2" x14ac:dyDescent="0.25">
      <c r="A693" s="49"/>
      <c r="C693" s="4"/>
    </row>
    <row r="694" spans="1:3" ht="13.2" x14ac:dyDescent="0.25">
      <c r="A694" s="49"/>
      <c r="C694" s="4"/>
    </row>
    <row r="695" spans="1:3" ht="13.2" x14ac:dyDescent="0.25">
      <c r="A695" s="49"/>
      <c r="C695" s="4"/>
    </row>
    <row r="696" spans="1:3" ht="13.2" x14ac:dyDescent="0.25">
      <c r="A696" s="49"/>
      <c r="C696" s="4"/>
    </row>
    <row r="697" spans="1:3" ht="13.2" x14ac:dyDescent="0.25">
      <c r="A697" s="49"/>
      <c r="C697" s="4"/>
    </row>
    <row r="698" spans="1:3" ht="13.2" x14ac:dyDescent="0.25">
      <c r="A698" s="49"/>
      <c r="C698" s="4"/>
    </row>
    <row r="699" spans="1:3" ht="13.2" x14ac:dyDescent="0.25">
      <c r="A699" s="49"/>
      <c r="C699" s="4"/>
    </row>
    <row r="700" spans="1:3" ht="13.2" x14ac:dyDescent="0.25">
      <c r="A700" s="49"/>
      <c r="C700" s="4"/>
    </row>
    <row r="701" spans="1:3" ht="13.2" x14ac:dyDescent="0.25">
      <c r="A701" s="49"/>
      <c r="C701" s="4"/>
    </row>
    <row r="702" spans="1:3" ht="13.2" x14ac:dyDescent="0.25">
      <c r="A702" s="49"/>
      <c r="C702" s="4"/>
    </row>
    <row r="703" spans="1:3" ht="13.2" x14ac:dyDescent="0.25">
      <c r="A703" s="49"/>
      <c r="C703" s="4"/>
    </row>
    <row r="704" spans="1:3" ht="13.2" x14ac:dyDescent="0.25">
      <c r="A704" s="49"/>
      <c r="C704" s="4"/>
    </row>
    <row r="705" spans="1:3" ht="13.2" x14ac:dyDescent="0.25">
      <c r="A705" s="49"/>
      <c r="C705" s="4"/>
    </row>
    <row r="706" spans="1:3" ht="13.2" x14ac:dyDescent="0.25">
      <c r="A706" s="49"/>
      <c r="C706" s="4"/>
    </row>
    <row r="707" spans="1:3" ht="13.2" x14ac:dyDescent="0.25">
      <c r="A707" s="49"/>
      <c r="C707" s="4"/>
    </row>
    <row r="708" spans="1:3" ht="13.2" x14ac:dyDescent="0.25">
      <c r="A708" s="49"/>
      <c r="C708" s="4"/>
    </row>
    <row r="709" spans="1:3" ht="13.2" x14ac:dyDescent="0.25">
      <c r="A709" s="49"/>
      <c r="C709" s="4"/>
    </row>
    <row r="710" spans="1:3" ht="13.2" x14ac:dyDescent="0.25">
      <c r="A710" s="49"/>
      <c r="C710" s="4"/>
    </row>
    <row r="711" spans="1:3" ht="13.2" x14ac:dyDescent="0.25">
      <c r="A711" s="49"/>
      <c r="C711" s="4"/>
    </row>
    <row r="712" spans="1:3" ht="13.2" x14ac:dyDescent="0.25">
      <c r="A712" s="49"/>
      <c r="C712" s="4"/>
    </row>
    <row r="713" spans="1:3" ht="13.2" x14ac:dyDescent="0.25">
      <c r="A713" s="49"/>
      <c r="C713" s="4"/>
    </row>
    <row r="714" spans="1:3" ht="13.2" x14ac:dyDescent="0.25">
      <c r="A714" s="49"/>
      <c r="C714" s="4"/>
    </row>
    <row r="715" spans="1:3" ht="13.2" x14ac:dyDescent="0.25">
      <c r="A715" s="49"/>
      <c r="C715" s="4"/>
    </row>
    <row r="716" spans="1:3" ht="13.2" x14ac:dyDescent="0.25">
      <c r="A716" s="49"/>
      <c r="C716" s="4"/>
    </row>
    <row r="717" spans="1:3" ht="13.2" x14ac:dyDescent="0.25">
      <c r="A717" s="49"/>
      <c r="C717" s="4"/>
    </row>
    <row r="718" spans="1:3" ht="13.2" x14ac:dyDescent="0.25">
      <c r="A718" s="49"/>
      <c r="C718" s="4"/>
    </row>
    <row r="719" spans="1:3" ht="13.2" x14ac:dyDescent="0.25">
      <c r="A719" s="49"/>
      <c r="C719" s="4"/>
    </row>
    <row r="720" spans="1:3" ht="13.2" x14ac:dyDescent="0.25">
      <c r="A720" s="49"/>
      <c r="C720" s="4"/>
    </row>
    <row r="721" spans="1:3" ht="13.2" x14ac:dyDescent="0.25">
      <c r="A721" s="49"/>
      <c r="C721" s="4"/>
    </row>
    <row r="722" spans="1:3" ht="13.2" x14ac:dyDescent="0.25">
      <c r="A722" s="49"/>
      <c r="C722" s="4"/>
    </row>
    <row r="723" spans="1:3" ht="13.2" x14ac:dyDescent="0.25">
      <c r="A723" s="49"/>
      <c r="C723" s="4"/>
    </row>
    <row r="724" spans="1:3" ht="13.2" x14ac:dyDescent="0.25">
      <c r="A724" s="49"/>
      <c r="C724" s="4"/>
    </row>
    <row r="725" spans="1:3" ht="13.2" x14ac:dyDescent="0.25">
      <c r="A725" s="49"/>
      <c r="C725" s="4"/>
    </row>
    <row r="726" spans="1:3" ht="13.2" x14ac:dyDescent="0.25">
      <c r="A726" s="49"/>
      <c r="C726" s="4"/>
    </row>
    <row r="727" spans="1:3" ht="13.2" x14ac:dyDescent="0.25">
      <c r="A727" s="49"/>
      <c r="C727" s="4"/>
    </row>
    <row r="728" spans="1:3" ht="13.2" x14ac:dyDescent="0.25">
      <c r="A728" s="49"/>
      <c r="C728" s="4"/>
    </row>
    <row r="729" spans="1:3" ht="13.2" x14ac:dyDescent="0.25">
      <c r="A729" s="49"/>
      <c r="C729" s="4"/>
    </row>
    <row r="730" spans="1:3" ht="13.2" x14ac:dyDescent="0.25">
      <c r="A730" s="49"/>
      <c r="C730" s="4"/>
    </row>
    <row r="731" spans="1:3" ht="13.2" x14ac:dyDescent="0.25">
      <c r="A731" s="49"/>
      <c r="C731" s="4"/>
    </row>
    <row r="732" spans="1:3" ht="13.2" x14ac:dyDescent="0.25">
      <c r="A732" s="49"/>
      <c r="C732" s="4"/>
    </row>
    <row r="733" spans="1:3" ht="13.2" x14ac:dyDescent="0.25">
      <c r="A733" s="49"/>
      <c r="C733" s="4"/>
    </row>
    <row r="734" spans="1:3" ht="13.2" x14ac:dyDescent="0.25">
      <c r="A734" s="49"/>
      <c r="C734" s="4"/>
    </row>
    <row r="735" spans="1:3" ht="13.2" x14ac:dyDescent="0.25">
      <c r="A735" s="49"/>
      <c r="C735" s="4"/>
    </row>
    <row r="736" spans="1:3" ht="13.2" x14ac:dyDescent="0.25">
      <c r="A736" s="49"/>
      <c r="C736" s="4"/>
    </row>
    <row r="737" spans="1:3" ht="13.2" x14ac:dyDescent="0.25">
      <c r="A737" s="49"/>
      <c r="C737" s="4"/>
    </row>
    <row r="738" spans="1:3" ht="13.2" x14ac:dyDescent="0.25">
      <c r="A738" s="49"/>
      <c r="C738" s="4"/>
    </row>
    <row r="739" spans="1:3" ht="13.2" x14ac:dyDescent="0.25">
      <c r="A739" s="49"/>
      <c r="C739" s="4"/>
    </row>
    <row r="740" spans="1:3" ht="13.2" x14ac:dyDescent="0.25">
      <c r="A740" s="49"/>
      <c r="C740" s="4"/>
    </row>
    <row r="741" spans="1:3" ht="13.2" x14ac:dyDescent="0.25">
      <c r="A741" s="49"/>
      <c r="C741" s="4"/>
    </row>
    <row r="742" spans="1:3" ht="13.2" x14ac:dyDescent="0.25">
      <c r="A742" s="49"/>
      <c r="C742" s="4"/>
    </row>
    <row r="743" spans="1:3" ht="13.2" x14ac:dyDescent="0.25">
      <c r="A743" s="49"/>
      <c r="C743" s="4"/>
    </row>
    <row r="744" spans="1:3" ht="13.2" x14ac:dyDescent="0.25">
      <c r="A744" s="49"/>
      <c r="C744" s="4"/>
    </row>
    <row r="745" spans="1:3" ht="13.2" x14ac:dyDescent="0.25">
      <c r="A745" s="49"/>
      <c r="C745" s="4"/>
    </row>
    <row r="746" spans="1:3" ht="13.2" x14ac:dyDescent="0.25">
      <c r="A746" s="49"/>
      <c r="C746" s="4"/>
    </row>
    <row r="747" spans="1:3" ht="13.2" x14ac:dyDescent="0.25">
      <c r="A747" s="49"/>
      <c r="C747" s="4"/>
    </row>
    <row r="748" spans="1:3" ht="13.2" x14ac:dyDescent="0.25">
      <c r="A748" s="49"/>
      <c r="C748" s="4"/>
    </row>
    <row r="749" spans="1:3" ht="13.2" x14ac:dyDescent="0.25">
      <c r="A749" s="49"/>
      <c r="C749" s="4"/>
    </row>
    <row r="750" spans="1:3" ht="13.2" x14ac:dyDescent="0.25">
      <c r="A750" s="49"/>
      <c r="C750" s="4"/>
    </row>
    <row r="751" spans="1:3" ht="13.2" x14ac:dyDescent="0.25">
      <c r="A751" s="49"/>
      <c r="C751" s="4"/>
    </row>
    <row r="752" spans="1:3" ht="13.2" x14ac:dyDescent="0.25">
      <c r="A752" s="49"/>
      <c r="C752" s="4"/>
    </row>
    <row r="753" spans="1:3" ht="13.2" x14ac:dyDescent="0.25">
      <c r="A753" s="49"/>
      <c r="C753" s="4"/>
    </row>
    <row r="754" spans="1:3" ht="13.2" x14ac:dyDescent="0.25">
      <c r="A754" s="49"/>
      <c r="C754" s="4"/>
    </row>
    <row r="755" spans="1:3" ht="13.2" x14ac:dyDescent="0.25">
      <c r="A755" s="49"/>
      <c r="C755" s="4"/>
    </row>
    <row r="756" spans="1:3" ht="13.2" x14ac:dyDescent="0.25">
      <c r="A756" s="49"/>
      <c r="C756" s="4"/>
    </row>
    <row r="757" spans="1:3" ht="13.2" x14ac:dyDescent="0.25">
      <c r="A757" s="49"/>
      <c r="C757" s="4"/>
    </row>
    <row r="758" spans="1:3" ht="13.2" x14ac:dyDescent="0.25">
      <c r="A758" s="49"/>
      <c r="C758" s="4"/>
    </row>
    <row r="759" spans="1:3" ht="13.2" x14ac:dyDescent="0.25">
      <c r="A759" s="49"/>
      <c r="C759" s="4"/>
    </row>
    <row r="760" spans="1:3" ht="13.2" x14ac:dyDescent="0.25">
      <c r="A760" s="49"/>
      <c r="C760" s="4"/>
    </row>
    <row r="761" spans="1:3" ht="13.2" x14ac:dyDescent="0.25">
      <c r="A761" s="49"/>
      <c r="C761" s="4"/>
    </row>
    <row r="762" spans="1:3" ht="13.2" x14ac:dyDescent="0.25">
      <c r="A762" s="49"/>
      <c r="C762" s="4"/>
    </row>
    <row r="763" spans="1:3" ht="13.2" x14ac:dyDescent="0.25">
      <c r="A763" s="49"/>
      <c r="C763" s="4"/>
    </row>
    <row r="764" spans="1:3" ht="13.2" x14ac:dyDescent="0.25">
      <c r="A764" s="49"/>
      <c r="C764" s="4"/>
    </row>
    <row r="765" spans="1:3" ht="13.2" x14ac:dyDescent="0.25">
      <c r="A765" s="49"/>
      <c r="C765" s="4"/>
    </row>
    <row r="766" spans="1:3" ht="13.2" x14ac:dyDescent="0.25">
      <c r="A766" s="49"/>
      <c r="C766" s="4"/>
    </row>
    <row r="767" spans="1:3" ht="13.2" x14ac:dyDescent="0.25">
      <c r="A767" s="49"/>
      <c r="C767" s="4"/>
    </row>
    <row r="768" spans="1:3" ht="13.2" x14ac:dyDescent="0.25">
      <c r="A768" s="49"/>
      <c r="C768" s="4"/>
    </row>
    <row r="769" spans="1:3" ht="13.2" x14ac:dyDescent="0.25">
      <c r="A769" s="49"/>
      <c r="C769" s="4"/>
    </row>
    <row r="770" spans="1:3" ht="13.2" x14ac:dyDescent="0.25">
      <c r="A770" s="49"/>
      <c r="C770" s="4"/>
    </row>
    <row r="771" spans="1:3" ht="13.2" x14ac:dyDescent="0.25">
      <c r="A771" s="49"/>
      <c r="C771" s="4"/>
    </row>
    <row r="772" spans="1:3" ht="13.2" x14ac:dyDescent="0.25">
      <c r="A772" s="49"/>
      <c r="C772" s="4"/>
    </row>
    <row r="773" spans="1:3" ht="13.2" x14ac:dyDescent="0.25">
      <c r="A773" s="49"/>
      <c r="C773" s="4"/>
    </row>
    <row r="774" spans="1:3" ht="13.2" x14ac:dyDescent="0.25">
      <c r="A774" s="49"/>
      <c r="C774" s="4"/>
    </row>
    <row r="775" spans="1:3" ht="13.2" x14ac:dyDescent="0.25">
      <c r="A775" s="49"/>
      <c r="C775" s="4"/>
    </row>
    <row r="776" spans="1:3" ht="13.2" x14ac:dyDescent="0.25">
      <c r="A776" s="49"/>
      <c r="C776" s="4"/>
    </row>
    <row r="777" spans="1:3" ht="13.2" x14ac:dyDescent="0.25">
      <c r="A777" s="49"/>
      <c r="C777" s="4"/>
    </row>
    <row r="778" spans="1:3" ht="13.2" x14ac:dyDescent="0.25">
      <c r="A778" s="49"/>
      <c r="C778" s="4"/>
    </row>
    <row r="779" spans="1:3" ht="13.2" x14ac:dyDescent="0.25">
      <c r="A779" s="49"/>
      <c r="C779" s="4"/>
    </row>
    <row r="780" spans="1:3" ht="13.2" x14ac:dyDescent="0.25">
      <c r="A780" s="49"/>
      <c r="C780" s="4"/>
    </row>
    <row r="781" spans="1:3" ht="13.2" x14ac:dyDescent="0.25">
      <c r="A781" s="49"/>
      <c r="C781" s="4"/>
    </row>
    <row r="782" spans="1:3" ht="13.2" x14ac:dyDescent="0.25">
      <c r="A782" s="49"/>
      <c r="C782" s="4"/>
    </row>
    <row r="783" spans="1:3" ht="13.2" x14ac:dyDescent="0.25">
      <c r="A783" s="49"/>
      <c r="C783" s="4"/>
    </row>
    <row r="784" spans="1:3" ht="13.2" x14ac:dyDescent="0.25">
      <c r="A784" s="49"/>
      <c r="C784" s="4"/>
    </row>
    <row r="785" spans="1:3" ht="13.2" x14ac:dyDescent="0.25">
      <c r="A785" s="49"/>
      <c r="C785" s="4"/>
    </row>
    <row r="786" spans="1:3" ht="13.2" x14ac:dyDescent="0.25">
      <c r="A786" s="49"/>
      <c r="C786" s="4"/>
    </row>
    <row r="787" spans="1:3" ht="13.2" x14ac:dyDescent="0.25">
      <c r="A787" s="49"/>
      <c r="C787" s="4"/>
    </row>
    <row r="788" spans="1:3" ht="13.2" x14ac:dyDescent="0.25">
      <c r="A788" s="49"/>
      <c r="C788" s="4"/>
    </row>
    <row r="789" spans="1:3" ht="13.2" x14ac:dyDescent="0.25">
      <c r="A789" s="49"/>
      <c r="C789" s="4"/>
    </row>
    <row r="790" spans="1:3" ht="13.2" x14ac:dyDescent="0.25">
      <c r="A790" s="49"/>
      <c r="C790" s="4"/>
    </row>
    <row r="791" spans="1:3" ht="13.2" x14ac:dyDescent="0.25">
      <c r="A791" s="49"/>
      <c r="C791" s="4"/>
    </row>
    <row r="792" spans="1:3" ht="13.2" x14ac:dyDescent="0.25">
      <c r="A792" s="49"/>
      <c r="C792" s="4"/>
    </row>
    <row r="793" spans="1:3" ht="13.2" x14ac:dyDescent="0.25">
      <c r="A793" s="49"/>
      <c r="C793" s="4"/>
    </row>
    <row r="794" spans="1:3" ht="13.2" x14ac:dyDescent="0.25">
      <c r="A794" s="49"/>
      <c r="C794" s="4"/>
    </row>
    <row r="795" spans="1:3" ht="13.2" x14ac:dyDescent="0.25">
      <c r="A795" s="49"/>
      <c r="C795" s="4"/>
    </row>
    <row r="796" spans="1:3" ht="13.2" x14ac:dyDescent="0.25">
      <c r="A796" s="49"/>
      <c r="C796" s="4"/>
    </row>
    <row r="797" spans="1:3" ht="13.2" x14ac:dyDescent="0.25">
      <c r="A797" s="49"/>
      <c r="C797" s="4"/>
    </row>
    <row r="798" spans="1:3" ht="13.2" x14ac:dyDescent="0.25">
      <c r="A798" s="49"/>
      <c r="C798" s="4"/>
    </row>
    <row r="799" spans="1:3" ht="13.2" x14ac:dyDescent="0.25">
      <c r="A799" s="49"/>
      <c r="C799" s="4"/>
    </row>
    <row r="800" spans="1:3" ht="13.2" x14ac:dyDescent="0.25">
      <c r="A800" s="49"/>
      <c r="C800" s="4"/>
    </row>
    <row r="801" spans="1:3" ht="13.2" x14ac:dyDescent="0.25">
      <c r="A801" s="49"/>
      <c r="C801" s="4"/>
    </row>
    <row r="802" spans="1:3" ht="13.2" x14ac:dyDescent="0.25">
      <c r="A802" s="49"/>
      <c r="C802" s="4"/>
    </row>
    <row r="803" spans="1:3" ht="13.2" x14ac:dyDescent="0.25">
      <c r="A803" s="49"/>
      <c r="C803" s="4"/>
    </row>
    <row r="804" spans="1:3" ht="13.2" x14ac:dyDescent="0.25">
      <c r="A804" s="49"/>
      <c r="C804" s="4"/>
    </row>
    <row r="805" spans="1:3" ht="13.2" x14ac:dyDescent="0.25">
      <c r="A805" s="49"/>
      <c r="C805" s="4"/>
    </row>
    <row r="806" spans="1:3" ht="13.2" x14ac:dyDescent="0.25">
      <c r="A806" s="49"/>
      <c r="C806" s="4"/>
    </row>
    <row r="807" spans="1:3" ht="13.2" x14ac:dyDescent="0.25">
      <c r="A807" s="49"/>
      <c r="C807" s="4"/>
    </row>
    <row r="808" spans="1:3" ht="13.2" x14ac:dyDescent="0.25">
      <c r="A808" s="49"/>
      <c r="C808" s="4"/>
    </row>
    <row r="809" spans="1:3" ht="13.2" x14ac:dyDescent="0.25">
      <c r="A809" s="49"/>
      <c r="C809" s="4"/>
    </row>
    <row r="810" spans="1:3" ht="13.2" x14ac:dyDescent="0.25">
      <c r="A810" s="49"/>
      <c r="C810" s="4"/>
    </row>
    <row r="811" spans="1:3" ht="13.2" x14ac:dyDescent="0.25">
      <c r="A811" s="49"/>
      <c r="C811" s="4"/>
    </row>
    <row r="812" spans="1:3" ht="13.2" x14ac:dyDescent="0.25">
      <c r="A812" s="49"/>
      <c r="C812" s="4"/>
    </row>
    <row r="813" spans="1:3" ht="13.2" x14ac:dyDescent="0.25">
      <c r="A813" s="49"/>
      <c r="C813" s="4"/>
    </row>
    <row r="814" spans="1:3" ht="13.2" x14ac:dyDescent="0.25">
      <c r="A814" s="49"/>
      <c r="C814" s="4"/>
    </row>
    <row r="815" spans="1:3" ht="13.2" x14ac:dyDescent="0.25">
      <c r="A815" s="49"/>
      <c r="C815" s="4"/>
    </row>
    <row r="816" spans="1:3" ht="13.2" x14ac:dyDescent="0.25">
      <c r="A816" s="49"/>
      <c r="C816" s="4"/>
    </row>
    <row r="817" spans="1:3" ht="13.2" x14ac:dyDescent="0.25">
      <c r="A817" s="49"/>
      <c r="C817" s="4"/>
    </row>
    <row r="818" spans="1:3" ht="13.2" x14ac:dyDescent="0.25">
      <c r="A818" s="49"/>
      <c r="C818" s="4"/>
    </row>
    <row r="819" spans="1:3" ht="13.2" x14ac:dyDescent="0.25">
      <c r="A819" s="49"/>
      <c r="C819" s="4"/>
    </row>
    <row r="820" spans="1:3" ht="13.2" x14ac:dyDescent="0.25">
      <c r="A820" s="49"/>
      <c r="C820" s="4"/>
    </row>
    <row r="821" spans="1:3" ht="13.2" x14ac:dyDescent="0.25">
      <c r="A821" s="49"/>
      <c r="C821" s="4"/>
    </row>
    <row r="822" spans="1:3" ht="13.2" x14ac:dyDescent="0.25">
      <c r="A822" s="49"/>
      <c r="C822" s="4"/>
    </row>
    <row r="823" spans="1:3" ht="13.2" x14ac:dyDescent="0.25">
      <c r="A823" s="49"/>
      <c r="C823" s="4"/>
    </row>
    <row r="824" spans="1:3" ht="13.2" x14ac:dyDescent="0.25">
      <c r="A824" s="49"/>
      <c r="C824" s="4"/>
    </row>
    <row r="825" spans="1:3" ht="13.2" x14ac:dyDescent="0.25">
      <c r="A825" s="49"/>
      <c r="C825" s="4"/>
    </row>
    <row r="826" spans="1:3" ht="13.2" x14ac:dyDescent="0.25">
      <c r="A826" s="49"/>
      <c r="C826" s="4"/>
    </row>
    <row r="827" spans="1:3" ht="13.2" x14ac:dyDescent="0.25">
      <c r="A827" s="49"/>
      <c r="C827" s="4"/>
    </row>
    <row r="828" spans="1:3" ht="13.2" x14ac:dyDescent="0.25">
      <c r="A828" s="49"/>
      <c r="C828" s="4"/>
    </row>
    <row r="829" spans="1:3" ht="13.2" x14ac:dyDescent="0.25">
      <c r="A829" s="49"/>
      <c r="C829" s="4"/>
    </row>
    <row r="830" spans="1:3" ht="13.2" x14ac:dyDescent="0.25">
      <c r="A830" s="49"/>
      <c r="C830" s="4"/>
    </row>
    <row r="831" spans="1:3" ht="13.2" x14ac:dyDescent="0.25">
      <c r="A831" s="49"/>
      <c r="C831" s="4"/>
    </row>
    <row r="832" spans="1:3" ht="13.2" x14ac:dyDescent="0.25">
      <c r="A832" s="49"/>
      <c r="C832" s="4"/>
    </row>
    <row r="833" spans="1:3" ht="13.2" x14ac:dyDescent="0.25">
      <c r="A833" s="49"/>
      <c r="C833" s="4"/>
    </row>
    <row r="834" spans="1:3" ht="13.2" x14ac:dyDescent="0.25">
      <c r="A834" s="49"/>
      <c r="C834" s="4"/>
    </row>
    <row r="835" spans="1:3" ht="13.2" x14ac:dyDescent="0.25">
      <c r="A835" s="49"/>
      <c r="C835" s="4"/>
    </row>
    <row r="836" spans="1:3" ht="13.2" x14ac:dyDescent="0.25">
      <c r="A836" s="49"/>
      <c r="C836" s="4"/>
    </row>
    <row r="837" spans="1:3" ht="13.2" x14ac:dyDescent="0.25">
      <c r="A837" s="49"/>
      <c r="C837" s="4"/>
    </row>
    <row r="838" spans="1:3" ht="13.2" x14ac:dyDescent="0.25">
      <c r="A838" s="49"/>
      <c r="C838" s="4"/>
    </row>
    <row r="839" spans="1:3" ht="13.2" x14ac:dyDescent="0.25">
      <c r="A839" s="49"/>
      <c r="C839" s="4"/>
    </row>
    <row r="840" spans="1:3" ht="13.2" x14ac:dyDescent="0.25">
      <c r="A840" s="49"/>
      <c r="C840" s="4"/>
    </row>
    <row r="841" spans="1:3" ht="13.2" x14ac:dyDescent="0.25">
      <c r="A841" s="49"/>
      <c r="C841" s="4"/>
    </row>
    <row r="842" spans="1:3" ht="13.2" x14ac:dyDescent="0.25">
      <c r="A842" s="49"/>
      <c r="C842" s="4"/>
    </row>
    <row r="843" spans="1:3" ht="13.2" x14ac:dyDescent="0.25">
      <c r="A843" s="49"/>
      <c r="C843" s="4"/>
    </row>
    <row r="844" spans="1:3" ht="13.2" x14ac:dyDescent="0.25">
      <c r="A844" s="49"/>
      <c r="C844" s="4"/>
    </row>
    <row r="845" spans="1:3" ht="13.2" x14ac:dyDescent="0.25">
      <c r="A845" s="49"/>
      <c r="C845" s="4"/>
    </row>
    <row r="846" spans="1:3" ht="13.2" x14ac:dyDescent="0.25">
      <c r="A846" s="49"/>
      <c r="C846" s="4"/>
    </row>
    <row r="847" spans="1:3" ht="13.2" x14ac:dyDescent="0.25">
      <c r="A847" s="49"/>
      <c r="C847" s="4"/>
    </row>
    <row r="848" spans="1:3" ht="13.2" x14ac:dyDescent="0.25">
      <c r="A848" s="49"/>
      <c r="C848" s="4"/>
    </row>
    <row r="849" spans="1:3" ht="13.2" x14ac:dyDescent="0.25">
      <c r="A849" s="49"/>
      <c r="C849" s="4"/>
    </row>
    <row r="850" spans="1:3" ht="13.2" x14ac:dyDescent="0.25">
      <c r="A850" s="49"/>
      <c r="C850" s="4"/>
    </row>
    <row r="851" spans="1:3" ht="13.2" x14ac:dyDescent="0.25">
      <c r="A851" s="49"/>
      <c r="C851" s="4"/>
    </row>
    <row r="852" spans="1:3" ht="13.2" x14ac:dyDescent="0.25">
      <c r="A852" s="49"/>
      <c r="C852" s="4"/>
    </row>
    <row r="853" spans="1:3" ht="13.2" x14ac:dyDescent="0.25">
      <c r="A853" s="49"/>
      <c r="C853" s="4"/>
    </row>
    <row r="854" spans="1:3" ht="13.2" x14ac:dyDescent="0.25">
      <c r="A854" s="49"/>
      <c r="C854" s="4"/>
    </row>
    <row r="855" spans="1:3" ht="13.2" x14ac:dyDescent="0.25">
      <c r="A855" s="49"/>
      <c r="C855" s="4"/>
    </row>
    <row r="856" spans="1:3" ht="13.2" x14ac:dyDescent="0.25">
      <c r="A856" s="49"/>
      <c r="C856" s="4"/>
    </row>
    <row r="857" spans="1:3" ht="13.2" x14ac:dyDescent="0.25">
      <c r="A857" s="49"/>
      <c r="C857" s="4"/>
    </row>
    <row r="858" spans="1:3" ht="13.2" x14ac:dyDescent="0.25">
      <c r="A858" s="49"/>
      <c r="C858" s="4"/>
    </row>
    <row r="859" spans="1:3" ht="13.2" x14ac:dyDescent="0.25">
      <c r="A859" s="49"/>
      <c r="C859" s="4"/>
    </row>
    <row r="860" spans="1:3" ht="13.2" x14ac:dyDescent="0.25">
      <c r="A860" s="49"/>
      <c r="C860" s="4"/>
    </row>
    <row r="861" spans="1:3" ht="13.2" x14ac:dyDescent="0.25">
      <c r="A861" s="49"/>
      <c r="C861" s="4"/>
    </row>
    <row r="862" spans="1:3" ht="13.2" x14ac:dyDescent="0.25">
      <c r="A862" s="49"/>
      <c r="C862" s="4"/>
    </row>
    <row r="863" spans="1:3" ht="13.2" x14ac:dyDescent="0.25">
      <c r="A863" s="49"/>
      <c r="C863" s="4"/>
    </row>
    <row r="864" spans="1:3" ht="13.2" x14ac:dyDescent="0.25">
      <c r="A864" s="49"/>
      <c r="C864" s="4"/>
    </row>
    <row r="865" spans="1:3" ht="13.2" x14ac:dyDescent="0.25">
      <c r="A865" s="49"/>
      <c r="C865" s="4"/>
    </row>
    <row r="866" spans="1:3" ht="13.2" x14ac:dyDescent="0.25">
      <c r="A866" s="49"/>
      <c r="C866" s="4"/>
    </row>
    <row r="867" spans="1:3" ht="13.2" x14ac:dyDescent="0.25">
      <c r="A867" s="49"/>
      <c r="C867" s="4"/>
    </row>
    <row r="868" spans="1:3" ht="13.2" x14ac:dyDescent="0.25">
      <c r="A868" s="49"/>
      <c r="C868" s="4"/>
    </row>
    <row r="869" spans="1:3" ht="13.2" x14ac:dyDescent="0.25">
      <c r="A869" s="49"/>
      <c r="C869" s="4"/>
    </row>
    <row r="870" spans="1:3" ht="13.2" x14ac:dyDescent="0.25">
      <c r="A870" s="49"/>
      <c r="C870" s="4"/>
    </row>
    <row r="871" spans="1:3" ht="13.2" x14ac:dyDescent="0.25">
      <c r="A871" s="49"/>
      <c r="C871" s="4"/>
    </row>
    <row r="872" spans="1:3" ht="13.2" x14ac:dyDescent="0.25">
      <c r="A872" s="49"/>
      <c r="C872" s="4"/>
    </row>
    <row r="873" spans="1:3" ht="13.2" x14ac:dyDescent="0.25">
      <c r="A873" s="49"/>
      <c r="C873" s="4"/>
    </row>
    <row r="874" spans="1:3" ht="13.2" x14ac:dyDescent="0.25">
      <c r="A874" s="49"/>
      <c r="C874" s="4"/>
    </row>
    <row r="875" spans="1:3" ht="13.2" x14ac:dyDescent="0.25">
      <c r="A875" s="49"/>
      <c r="C875" s="4"/>
    </row>
    <row r="876" spans="1:3" ht="13.2" x14ac:dyDescent="0.25">
      <c r="A876" s="49"/>
      <c r="C876" s="4"/>
    </row>
    <row r="877" spans="1:3" ht="13.2" x14ac:dyDescent="0.25">
      <c r="A877" s="49"/>
      <c r="C877" s="4"/>
    </row>
    <row r="878" spans="1:3" ht="13.2" x14ac:dyDescent="0.25">
      <c r="A878" s="49"/>
      <c r="C878" s="4"/>
    </row>
    <row r="879" spans="1:3" ht="13.2" x14ac:dyDescent="0.25">
      <c r="A879" s="49"/>
      <c r="C879" s="4"/>
    </row>
    <row r="880" spans="1:3" ht="13.2" x14ac:dyDescent="0.25">
      <c r="A880" s="49"/>
      <c r="C880" s="4"/>
    </row>
    <row r="881" spans="1:3" ht="13.2" x14ac:dyDescent="0.25">
      <c r="A881" s="49"/>
      <c r="C881" s="4"/>
    </row>
    <row r="882" spans="1:3" ht="13.2" x14ac:dyDescent="0.25">
      <c r="A882" s="49"/>
      <c r="C882" s="4"/>
    </row>
    <row r="883" spans="1:3" ht="13.2" x14ac:dyDescent="0.25">
      <c r="A883" s="49"/>
      <c r="C883" s="4"/>
    </row>
    <row r="884" spans="1:3" ht="13.2" x14ac:dyDescent="0.25">
      <c r="A884" s="49"/>
      <c r="C884" s="4"/>
    </row>
    <row r="885" spans="1:3" ht="13.2" x14ac:dyDescent="0.25">
      <c r="A885" s="49"/>
      <c r="C885" s="4"/>
    </row>
    <row r="886" spans="1:3" ht="13.2" x14ac:dyDescent="0.25">
      <c r="A886" s="49"/>
      <c r="C886" s="4"/>
    </row>
    <row r="887" spans="1:3" ht="13.2" x14ac:dyDescent="0.25">
      <c r="A887" s="49"/>
      <c r="C887" s="4"/>
    </row>
    <row r="888" spans="1:3" ht="13.2" x14ac:dyDescent="0.25">
      <c r="A888" s="49"/>
      <c r="C888" s="4"/>
    </row>
    <row r="889" spans="1:3" ht="13.2" x14ac:dyDescent="0.25">
      <c r="A889" s="49"/>
      <c r="C889" s="4"/>
    </row>
    <row r="890" spans="1:3" ht="13.2" x14ac:dyDescent="0.25">
      <c r="A890" s="49"/>
      <c r="C890" s="4"/>
    </row>
    <row r="891" spans="1:3" ht="13.2" x14ac:dyDescent="0.25">
      <c r="A891" s="49"/>
      <c r="C891" s="4"/>
    </row>
    <row r="892" spans="1:3" ht="13.2" x14ac:dyDescent="0.25">
      <c r="A892" s="49"/>
      <c r="C892" s="4"/>
    </row>
    <row r="893" spans="1:3" ht="13.2" x14ac:dyDescent="0.25">
      <c r="A893" s="49"/>
      <c r="C893" s="4"/>
    </row>
    <row r="894" spans="1:3" ht="13.2" x14ac:dyDescent="0.25">
      <c r="A894" s="49"/>
      <c r="C894" s="4"/>
    </row>
    <row r="895" spans="1:3" ht="13.2" x14ac:dyDescent="0.25">
      <c r="A895" s="49"/>
      <c r="C895" s="4"/>
    </row>
    <row r="896" spans="1:3" ht="13.2" x14ac:dyDescent="0.25">
      <c r="A896" s="49"/>
      <c r="C896" s="4"/>
    </row>
    <row r="897" spans="1:3" ht="13.2" x14ac:dyDescent="0.25">
      <c r="A897" s="49"/>
      <c r="C897" s="4"/>
    </row>
    <row r="898" spans="1:3" ht="13.2" x14ac:dyDescent="0.25">
      <c r="A898" s="49"/>
      <c r="C898" s="4"/>
    </row>
    <row r="899" spans="1:3" ht="13.2" x14ac:dyDescent="0.25">
      <c r="A899" s="49"/>
      <c r="C899" s="4"/>
    </row>
    <row r="900" spans="1:3" ht="13.2" x14ac:dyDescent="0.25">
      <c r="A900" s="49"/>
      <c r="C900" s="4"/>
    </row>
    <row r="901" spans="1:3" ht="13.2" x14ac:dyDescent="0.25">
      <c r="A901" s="49"/>
      <c r="C901" s="4"/>
    </row>
    <row r="902" spans="1:3" ht="13.2" x14ac:dyDescent="0.25">
      <c r="A902" s="49"/>
      <c r="C902" s="4"/>
    </row>
    <row r="903" spans="1:3" ht="13.2" x14ac:dyDescent="0.25">
      <c r="A903" s="49"/>
      <c r="C903" s="4"/>
    </row>
    <row r="904" spans="1:3" ht="13.2" x14ac:dyDescent="0.25">
      <c r="A904" s="49"/>
      <c r="C904" s="4"/>
    </row>
    <row r="905" spans="1:3" ht="13.2" x14ac:dyDescent="0.25">
      <c r="A905" s="49"/>
      <c r="C905" s="4"/>
    </row>
    <row r="906" spans="1:3" ht="13.2" x14ac:dyDescent="0.25">
      <c r="A906" s="49"/>
      <c r="C906" s="4"/>
    </row>
    <row r="907" spans="1:3" ht="13.2" x14ac:dyDescent="0.25">
      <c r="A907" s="49"/>
      <c r="C907" s="4"/>
    </row>
    <row r="908" spans="1:3" ht="13.2" x14ac:dyDescent="0.25">
      <c r="A908" s="49"/>
      <c r="C908" s="4"/>
    </row>
    <row r="909" spans="1:3" ht="13.2" x14ac:dyDescent="0.25">
      <c r="A909" s="49"/>
      <c r="C909" s="4"/>
    </row>
    <row r="910" spans="1:3" ht="13.2" x14ac:dyDescent="0.25">
      <c r="A910" s="49"/>
      <c r="C910" s="4"/>
    </row>
    <row r="911" spans="1:3" ht="13.2" x14ac:dyDescent="0.25">
      <c r="A911" s="49"/>
      <c r="C911" s="4"/>
    </row>
    <row r="912" spans="1:3" ht="13.2" x14ac:dyDescent="0.25">
      <c r="A912" s="49"/>
      <c r="C912" s="4"/>
    </row>
    <row r="913" spans="1:3" ht="13.2" x14ac:dyDescent="0.25">
      <c r="A913" s="49"/>
      <c r="C913" s="4"/>
    </row>
    <row r="914" spans="1:3" ht="13.2" x14ac:dyDescent="0.25">
      <c r="A914" s="49"/>
      <c r="C914" s="4"/>
    </row>
    <row r="915" spans="1:3" ht="13.2" x14ac:dyDescent="0.25">
      <c r="A915" s="49"/>
      <c r="C915" s="4"/>
    </row>
    <row r="916" spans="1:3" ht="13.2" x14ac:dyDescent="0.25">
      <c r="A916" s="49"/>
      <c r="C916" s="4"/>
    </row>
    <row r="917" spans="1:3" ht="13.2" x14ac:dyDescent="0.25">
      <c r="A917" s="49"/>
      <c r="C917" s="4"/>
    </row>
    <row r="918" spans="1:3" ht="13.2" x14ac:dyDescent="0.25">
      <c r="A918" s="49"/>
      <c r="C918" s="4"/>
    </row>
    <row r="919" spans="1:3" ht="13.2" x14ac:dyDescent="0.25">
      <c r="A919" s="49"/>
      <c r="C919" s="4"/>
    </row>
    <row r="920" spans="1:3" ht="13.2" x14ac:dyDescent="0.25">
      <c r="A920" s="49"/>
      <c r="C920" s="4"/>
    </row>
    <row r="921" spans="1:3" ht="13.2" x14ac:dyDescent="0.25">
      <c r="A921" s="49"/>
      <c r="C921" s="4"/>
    </row>
    <row r="922" spans="1:3" ht="13.2" x14ac:dyDescent="0.25">
      <c r="A922" s="49"/>
      <c r="C922" s="4"/>
    </row>
    <row r="923" spans="1:3" ht="13.2" x14ac:dyDescent="0.25">
      <c r="A923" s="49"/>
      <c r="C923" s="4"/>
    </row>
    <row r="924" spans="1:3" ht="13.2" x14ac:dyDescent="0.25">
      <c r="A924" s="49"/>
      <c r="C924" s="4"/>
    </row>
    <row r="925" spans="1:3" ht="13.2" x14ac:dyDescent="0.25">
      <c r="A925" s="49"/>
      <c r="C925" s="4"/>
    </row>
    <row r="926" spans="1:3" ht="13.2" x14ac:dyDescent="0.25">
      <c r="A926" s="49"/>
      <c r="C926" s="4"/>
    </row>
    <row r="927" spans="1:3" ht="13.2" x14ac:dyDescent="0.25">
      <c r="A927" s="49"/>
      <c r="C927" s="4"/>
    </row>
    <row r="928" spans="1:3" ht="13.2" x14ac:dyDescent="0.25">
      <c r="A928" s="49"/>
      <c r="C928" s="4"/>
    </row>
    <row r="929" spans="1:3" ht="13.2" x14ac:dyDescent="0.25">
      <c r="A929" s="49"/>
      <c r="C929" s="4"/>
    </row>
    <row r="930" spans="1:3" ht="13.2" x14ac:dyDescent="0.25">
      <c r="A930" s="49"/>
      <c r="C930" s="4"/>
    </row>
    <row r="931" spans="1:3" ht="13.2" x14ac:dyDescent="0.25">
      <c r="A931" s="49"/>
      <c r="C931" s="4"/>
    </row>
    <row r="932" spans="1:3" ht="13.2" x14ac:dyDescent="0.25">
      <c r="A932" s="49"/>
      <c r="C932" s="4"/>
    </row>
    <row r="933" spans="1:3" ht="13.2" x14ac:dyDescent="0.25">
      <c r="A933" s="49"/>
      <c r="C933" s="4"/>
    </row>
    <row r="934" spans="1:3" ht="13.2" x14ac:dyDescent="0.25">
      <c r="A934" s="49"/>
      <c r="C934" s="4"/>
    </row>
    <row r="935" spans="1:3" ht="13.2" x14ac:dyDescent="0.25">
      <c r="A935" s="49"/>
      <c r="C935" s="4"/>
    </row>
    <row r="936" spans="1:3" ht="13.2" x14ac:dyDescent="0.25">
      <c r="A936" s="49"/>
      <c r="C936" s="4"/>
    </row>
    <row r="937" spans="1:3" ht="13.2" x14ac:dyDescent="0.25">
      <c r="A937" s="49"/>
      <c r="C937" s="4"/>
    </row>
    <row r="938" spans="1:3" ht="13.2" x14ac:dyDescent="0.25">
      <c r="A938" s="49"/>
      <c r="C938" s="4"/>
    </row>
    <row r="939" spans="1:3" ht="13.2" x14ac:dyDescent="0.25">
      <c r="A939" s="49"/>
      <c r="C939" s="4"/>
    </row>
    <row r="940" spans="1:3" ht="13.2" x14ac:dyDescent="0.25">
      <c r="A940" s="49"/>
      <c r="C940" s="4"/>
    </row>
    <row r="941" spans="1:3" ht="13.2" x14ac:dyDescent="0.25">
      <c r="A941" s="49"/>
      <c r="C941" s="4"/>
    </row>
    <row r="942" spans="1:3" ht="13.2" x14ac:dyDescent="0.25">
      <c r="A942" s="49"/>
      <c r="C942" s="4"/>
    </row>
    <row r="943" spans="1:3" ht="13.2" x14ac:dyDescent="0.25">
      <c r="A943" s="49"/>
      <c r="C943" s="4"/>
    </row>
    <row r="944" spans="1:3" ht="13.2" x14ac:dyDescent="0.25">
      <c r="A944" s="49"/>
      <c r="C944" s="4"/>
    </row>
    <row r="945" spans="1:3" ht="13.2" x14ac:dyDescent="0.25">
      <c r="A945" s="49"/>
      <c r="C945" s="4"/>
    </row>
    <row r="946" spans="1:3" ht="13.2" x14ac:dyDescent="0.25">
      <c r="A946" s="49"/>
      <c r="C946" s="4"/>
    </row>
    <row r="947" spans="1:3" ht="13.2" x14ac:dyDescent="0.25">
      <c r="A947" s="49"/>
      <c r="C947" s="4"/>
    </row>
    <row r="948" spans="1:3" ht="13.2" x14ac:dyDescent="0.25">
      <c r="A948" s="49"/>
      <c r="C948" s="4"/>
    </row>
    <row r="949" spans="1:3" ht="13.2" x14ac:dyDescent="0.25">
      <c r="A949" s="49"/>
      <c r="C949" s="4"/>
    </row>
    <row r="950" spans="1:3" ht="13.2" x14ac:dyDescent="0.25">
      <c r="A950" s="49"/>
      <c r="C950" s="4"/>
    </row>
    <row r="951" spans="1:3" ht="13.2" x14ac:dyDescent="0.25">
      <c r="A951" s="49"/>
      <c r="C951" s="4"/>
    </row>
    <row r="952" spans="1:3" ht="13.2" x14ac:dyDescent="0.25">
      <c r="A952" s="49"/>
      <c r="C952" s="4"/>
    </row>
    <row r="953" spans="1:3" ht="13.2" x14ac:dyDescent="0.25">
      <c r="A953" s="49"/>
      <c r="C953" s="4"/>
    </row>
    <row r="954" spans="1:3" ht="13.2" x14ac:dyDescent="0.25">
      <c r="A954" s="49"/>
      <c r="C954" s="4"/>
    </row>
    <row r="955" spans="1:3" ht="13.2" x14ac:dyDescent="0.25">
      <c r="A955" s="49"/>
      <c r="C955" s="4"/>
    </row>
    <row r="956" spans="1:3" ht="13.2" x14ac:dyDescent="0.25">
      <c r="A956" s="49"/>
      <c r="C956" s="4"/>
    </row>
    <row r="957" spans="1:3" ht="13.2" x14ac:dyDescent="0.25">
      <c r="A957" s="49"/>
      <c r="C957" s="4"/>
    </row>
    <row r="958" spans="1:3" ht="13.2" x14ac:dyDescent="0.25">
      <c r="A958" s="49"/>
      <c r="C958" s="4"/>
    </row>
    <row r="959" spans="1:3" ht="13.2" x14ac:dyDescent="0.25">
      <c r="A959" s="49"/>
      <c r="C959" s="4"/>
    </row>
    <row r="960" spans="1:3" ht="13.2" x14ac:dyDescent="0.25">
      <c r="A960" s="49"/>
      <c r="C960" s="4"/>
    </row>
    <row r="961" spans="1:3" ht="13.2" x14ac:dyDescent="0.25">
      <c r="A961" s="49"/>
      <c r="C961" s="4"/>
    </row>
    <row r="962" spans="1:3" ht="13.2" x14ac:dyDescent="0.25">
      <c r="A962" s="49"/>
      <c r="C962" s="4"/>
    </row>
    <row r="963" spans="1:3" ht="13.2" x14ac:dyDescent="0.25">
      <c r="A963" s="49"/>
      <c r="C963" s="4"/>
    </row>
    <row r="964" spans="1:3" ht="13.2" x14ac:dyDescent="0.25">
      <c r="A964" s="49"/>
      <c r="C964" s="4"/>
    </row>
    <row r="965" spans="1:3" ht="13.2" x14ac:dyDescent="0.25">
      <c r="A965" s="49"/>
      <c r="C965" s="4"/>
    </row>
    <row r="966" spans="1:3" ht="13.2" x14ac:dyDescent="0.25">
      <c r="A966" s="49"/>
      <c r="C966" s="4"/>
    </row>
    <row r="967" spans="1:3" ht="13.2" x14ac:dyDescent="0.25">
      <c r="A967" s="49"/>
      <c r="C967" s="4"/>
    </row>
    <row r="968" spans="1:3" ht="13.2" x14ac:dyDescent="0.25">
      <c r="A968" s="49"/>
      <c r="C968" s="4"/>
    </row>
    <row r="969" spans="1:3" ht="13.2" x14ac:dyDescent="0.25">
      <c r="A969" s="49"/>
      <c r="C969" s="4"/>
    </row>
    <row r="970" spans="1:3" ht="13.2" x14ac:dyDescent="0.25">
      <c r="A970" s="49"/>
      <c r="C970" s="4"/>
    </row>
    <row r="971" spans="1:3" ht="13.2" x14ac:dyDescent="0.25">
      <c r="A971" s="49"/>
      <c r="C971" s="4"/>
    </row>
    <row r="972" spans="1:3" ht="13.2" x14ac:dyDescent="0.25">
      <c r="A972" s="49"/>
      <c r="C972" s="4"/>
    </row>
    <row r="973" spans="1:3" ht="13.2" x14ac:dyDescent="0.25">
      <c r="A973" s="49"/>
      <c r="C973" s="4"/>
    </row>
    <row r="974" spans="1:3" ht="13.2" x14ac:dyDescent="0.25">
      <c r="A974" s="49"/>
      <c r="C974" s="4"/>
    </row>
    <row r="975" spans="1:3" ht="13.2" x14ac:dyDescent="0.25">
      <c r="A975" s="49"/>
      <c r="C975" s="4"/>
    </row>
    <row r="976" spans="1:3" ht="13.2" x14ac:dyDescent="0.25">
      <c r="A976" s="49"/>
      <c r="C976" s="4"/>
    </row>
    <row r="977" spans="1:3" ht="13.2" x14ac:dyDescent="0.25">
      <c r="A977" s="49"/>
      <c r="C977" s="4"/>
    </row>
    <row r="978" spans="1:3" ht="13.2" x14ac:dyDescent="0.25">
      <c r="A978" s="49"/>
      <c r="C978" s="4"/>
    </row>
    <row r="979" spans="1:3" ht="13.2" x14ac:dyDescent="0.25">
      <c r="A979" s="49"/>
      <c r="C979" s="4"/>
    </row>
    <row r="980" spans="1:3" ht="13.2" x14ac:dyDescent="0.25">
      <c r="A980" s="49"/>
      <c r="C980" s="4"/>
    </row>
    <row r="981" spans="1:3" ht="13.2" x14ac:dyDescent="0.25">
      <c r="A981" s="49"/>
      <c r="C981" s="4"/>
    </row>
    <row r="982" spans="1:3" ht="13.2" x14ac:dyDescent="0.25">
      <c r="A982" s="49"/>
      <c r="C982" s="4"/>
    </row>
    <row r="983" spans="1:3" ht="13.2" x14ac:dyDescent="0.25">
      <c r="A983" s="49"/>
      <c r="C983" s="4"/>
    </row>
    <row r="984" spans="1:3" ht="13.2" x14ac:dyDescent="0.25">
      <c r="A984" s="49"/>
      <c r="C984" s="4"/>
    </row>
    <row r="985" spans="1:3" ht="13.2" x14ac:dyDescent="0.25">
      <c r="A985" s="49"/>
      <c r="C985" s="4"/>
    </row>
    <row r="986" spans="1:3" ht="13.2" x14ac:dyDescent="0.25">
      <c r="A986" s="49"/>
      <c r="C986" s="4"/>
    </row>
    <row r="987" spans="1:3" ht="13.2" x14ac:dyDescent="0.25">
      <c r="A987" s="49"/>
      <c r="C987" s="4"/>
    </row>
    <row r="988" spans="1:3" ht="13.2" x14ac:dyDescent="0.25">
      <c r="A988" s="49"/>
      <c r="C988" s="4"/>
    </row>
    <row r="989" spans="1:3" ht="13.2" x14ac:dyDescent="0.25">
      <c r="A989" s="49"/>
      <c r="C989" s="4"/>
    </row>
    <row r="990" spans="1:3" ht="13.2" x14ac:dyDescent="0.25">
      <c r="A990" s="49"/>
      <c r="C990" s="4"/>
    </row>
    <row r="991" spans="1:3" ht="13.2" x14ac:dyDescent="0.25">
      <c r="A991" s="49"/>
      <c r="C991" s="4"/>
    </row>
    <row r="992" spans="1:3" ht="13.2" x14ac:dyDescent="0.25">
      <c r="A992" s="49"/>
      <c r="C992" s="4"/>
    </row>
    <row r="993" spans="1:3" ht="13.2" x14ac:dyDescent="0.25">
      <c r="A993" s="49"/>
      <c r="C993" s="4"/>
    </row>
    <row r="994" spans="1:3" ht="13.2" x14ac:dyDescent="0.25">
      <c r="A994" s="49"/>
      <c r="C994" s="4"/>
    </row>
    <row r="995" spans="1:3" ht="13.2" x14ac:dyDescent="0.25">
      <c r="A995" s="49"/>
      <c r="C995" s="4"/>
    </row>
    <row r="996" spans="1:3" ht="13.2" x14ac:dyDescent="0.25">
      <c r="A996" s="49"/>
      <c r="C996" s="4"/>
    </row>
    <row r="997" spans="1:3" ht="13.2" x14ac:dyDescent="0.25">
      <c r="A997" s="49"/>
      <c r="C997" s="4"/>
    </row>
    <row r="998" spans="1:3" ht="13.2" x14ac:dyDescent="0.25">
      <c r="A998" s="49"/>
      <c r="C998" s="4"/>
    </row>
    <row r="999" spans="1:3" ht="13.2" x14ac:dyDescent="0.25">
      <c r="A999" s="49"/>
      <c r="C999" s="4"/>
    </row>
    <row r="1000" spans="1:3" ht="13.2" x14ac:dyDescent="0.25">
      <c r="A1000" s="49"/>
      <c r="C1000" s="4"/>
    </row>
    <row r="1001" spans="1:3" ht="13.2" x14ac:dyDescent="0.25">
      <c r="A1001" s="49"/>
      <c r="C1001" s="4"/>
    </row>
    <row r="1002" spans="1:3" ht="13.2" x14ac:dyDescent="0.25">
      <c r="A1002" s="49"/>
      <c r="C1002" s="4"/>
    </row>
    <row r="1003" spans="1:3" ht="13.2" x14ac:dyDescent="0.25">
      <c r="A1003" s="49"/>
      <c r="C1003" s="4"/>
    </row>
    <row r="1004" spans="1:3" ht="13.2" x14ac:dyDescent="0.25">
      <c r="A1004" s="49"/>
      <c r="C1004" s="4"/>
    </row>
    <row r="1005" spans="1:3" ht="13.2" x14ac:dyDescent="0.25">
      <c r="A1005" s="49"/>
      <c r="C1005" s="4"/>
    </row>
    <row r="1006" spans="1:3" ht="13.2" x14ac:dyDescent="0.25">
      <c r="A1006" s="49"/>
      <c r="C1006" s="4"/>
    </row>
    <row r="1007" spans="1:3" ht="13.2" x14ac:dyDescent="0.25">
      <c r="A1007" s="49"/>
      <c r="C1007" s="4"/>
    </row>
    <row r="1008" spans="1:3" ht="13.2" x14ac:dyDescent="0.25">
      <c r="A1008" s="49"/>
      <c r="C1008" s="4"/>
    </row>
    <row r="1009" spans="1:3" ht="13.2" x14ac:dyDescent="0.25">
      <c r="A1009" s="49"/>
      <c r="C1009" s="4"/>
    </row>
    <row r="1010" spans="1:3" ht="13.2" x14ac:dyDescent="0.25">
      <c r="A1010" s="49"/>
      <c r="C1010" s="4"/>
    </row>
    <row r="1011" spans="1:3" ht="13.2" x14ac:dyDescent="0.25">
      <c r="A1011" s="49"/>
      <c r="C1011" s="4"/>
    </row>
    <row r="1012" spans="1:3" ht="13.2" x14ac:dyDescent="0.25">
      <c r="A1012" s="49"/>
      <c r="C1012" s="4"/>
    </row>
    <row r="1013" spans="1:3" ht="13.2" x14ac:dyDescent="0.25">
      <c r="A1013" s="49"/>
      <c r="C1013" s="4"/>
    </row>
    <row r="1014" spans="1:3" ht="13.2" x14ac:dyDescent="0.25">
      <c r="A1014" s="49"/>
      <c r="C1014" s="4"/>
    </row>
    <row r="1015" spans="1:3" ht="13.2" x14ac:dyDescent="0.25">
      <c r="A1015" s="49"/>
      <c r="C1015" s="4"/>
    </row>
    <row r="1016" spans="1:3" ht="13.2" x14ac:dyDescent="0.25">
      <c r="A1016" s="49"/>
      <c r="C1016" s="4"/>
    </row>
    <row r="1017" spans="1:3" ht="13.2" x14ac:dyDescent="0.25">
      <c r="A1017" s="49"/>
      <c r="C1017" s="4"/>
    </row>
    <row r="1018" spans="1:3" ht="13.2" x14ac:dyDescent="0.25">
      <c r="A1018" s="49"/>
      <c r="C1018" s="4"/>
    </row>
    <row r="1019" spans="1:3" ht="13.2" x14ac:dyDescent="0.25">
      <c r="A1019" s="49"/>
      <c r="C1019" s="4"/>
    </row>
    <row r="1020" spans="1:3" ht="13.2" x14ac:dyDescent="0.25">
      <c r="A1020" s="49"/>
      <c r="C1020" s="4"/>
    </row>
    <row r="1021" spans="1:3" ht="13.2" x14ac:dyDescent="0.25">
      <c r="A1021" s="49"/>
      <c r="C1021" s="4"/>
    </row>
    <row r="1022" spans="1:3" ht="13.2" x14ac:dyDescent="0.25">
      <c r="A1022" s="49"/>
      <c r="C1022" s="4"/>
    </row>
    <row r="1023" spans="1:3" ht="13.2" x14ac:dyDescent="0.25">
      <c r="A1023" s="49"/>
      <c r="C1023" s="4"/>
    </row>
    <row r="1024" spans="1:3" ht="13.2" x14ac:dyDescent="0.25">
      <c r="A1024" s="49"/>
      <c r="C1024" s="4"/>
    </row>
    <row r="1025" spans="1:3" ht="13.2" x14ac:dyDescent="0.25">
      <c r="A1025" s="49"/>
      <c r="C1025" s="4"/>
    </row>
    <row r="1026" spans="1:3" ht="13.2" x14ac:dyDescent="0.25">
      <c r="A1026" s="49"/>
      <c r="C1026" s="4"/>
    </row>
    <row r="1027" spans="1:3" ht="13.2" x14ac:dyDescent="0.25">
      <c r="A1027" s="49"/>
      <c r="C1027" s="4"/>
    </row>
    <row r="1028" spans="1:3" ht="13.2" x14ac:dyDescent="0.25">
      <c r="A1028" s="49"/>
      <c r="C1028" s="4"/>
    </row>
    <row r="1029" spans="1:3" ht="13.2" x14ac:dyDescent="0.25">
      <c r="A1029" s="49"/>
      <c r="C1029" s="4"/>
    </row>
    <row r="1030" spans="1:3" ht="13.2" x14ac:dyDescent="0.25">
      <c r="A1030" s="49"/>
      <c r="C1030" s="4"/>
    </row>
    <row r="1031" spans="1:3" ht="13.2" x14ac:dyDescent="0.25">
      <c r="A1031" s="49"/>
      <c r="C1031" s="4"/>
    </row>
    <row r="1032" spans="1:3" ht="13.2" x14ac:dyDescent="0.25">
      <c r="A1032" s="49"/>
      <c r="C1032" s="4"/>
    </row>
    <row r="1033" spans="1:3" ht="13.2" x14ac:dyDescent="0.25">
      <c r="A1033" s="49"/>
      <c r="C1033" s="4"/>
    </row>
    <row r="1034" spans="1:3" ht="13.2" x14ac:dyDescent="0.25">
      <c r="A1034" s="49"/>
      <c r="C1034" s="4"/>
    </row>
    <row r="1035" spans="1:3" ht="13.2" x14ac:dyDescent="0.25">
      <c r="A1035" s="49"/>
      <c r="C1035" s="4"/>
    </row>
    <row r="1036" spans="1:3" ht="13.2" x14ac:dyDescent="0.25">
      <c r="A1036" s="49"/>
      <c r="C1036" s="4"/>
    </row>
    <row r="1037" spans="1:3" ht="13.2" x14ac:dyDescent="0.25">
      <c r="A1037" s="49"/>
      <c r="C1037" s="4"/>
    </row>
    <row r="1038" spans="1:3" ht="13.2" x14ac:dyDescent="0.25">
      <c r="A1038" s="49"/>
      <c r="C1038" s="4"/>
    </row>
    <row r="1039" spans="1:3" ht="13.2" x14ac:dyDescent="0.25">
      <c r="A1039" s="49"/>
      <c r="C1039" s="4"/>
    </row>
    <row r="1040" spans="1:3" ht="13.2" x14ac:dyDescent="0.25">
      <c r="A1040" s="49"/>
      <c r="C1040" s="4"/>
    </row>
    <row r="1041" spans="1:3" ht="13.2" x14ac:dyDescent="0.25">
      <c r="A1041" s="49"/>
      <c r="C1041" s="4"/>
    </row>
    <row r="1042" spans="1:3" ht="13.2" x14ac:dyDescent="0.25">
      <c r="A1042" s="49"/>
      <c r="C1042" s="4"/>
    </row>
    <row r="1043" spans="1:3" ht="13.2" x14ac:dyDescent="0.25">
      <c r="A1043" s="49"/>
      <c r="C1043" s="4"/>
    </row>
    <row r="1044" spans="1:3" ht="13.2" x14ac:dyDescent="0.25">
      <c r="A1044" s="49"/>
      <c r="C1044" s="4"/>
    </row>
    <row r="1045" spans="1:3" ht="13.2" x14ac:dyDescent="0.25">
      <c r="A1045" s="49"/>
      <c r="C1045" s="4"/>
    </row>
    <row r="1046" spans="1:3" ht="13.2" x14ac:dyDescent="0.25">
      <c r="A1046" s="49"/>
      <c r="C1046" s="4"/>
    </row>
    <row r="1047" spans="1:3" ht="13.2" x14ac:dyDescent="0.25">
      <c r="A1047" s="49"/>
      <c r="C1047" s="4"/>
    </row>
    <row r="1048" spans="1:3" ht="13.2" x14ac:dyDescent="0.25">
      <c r="A1048" s="49"/>
      <c r="C1048" s="4"/>
    </row>
    <row r="1049" spans="1:3" ht="13.2" x14ac:dyDescent="0.25">
      <c r="A1049" s="49"/>
      <c r="C1049" s="4"/>
    </row>
    <row r="1050" spans="1:3" ht="13.2" x14ac:dyDescent="0.25">
      <c r="A1050" s="49"/>
      <c r="C1050" s="4"/>
    </row>
    <row r="1051" spans="1:3" ht="13.2" x14ac:dyDescent="0.25">
      <c r="A1051" s="49"/>
      <c r="C1051" s="4"/>
    </row>
    <row r="1052" spans="1:3" ht="13.2" x14ac:dyDescent="0.25">
      <c r="A1052" s="49"/>
      <c r="C1052" s="4"/>
    </row>
    <row r="1053" spans="1:3" ht="13.2" x14ac:dyDescent="0.25">
      <c r="A1053" s="49"/>
      <c r="C1053" s="4"/>
    </row>
    <row r="1054" spans="1:3" ht="13.2" x14ac:dyDescent="0.25">
      <c r="A1054" s="49"/>
      <c r="C1054" s="4"/>
    </row>
    <row r="1055" spans="1:3" ht="13.2" x14ac:dyDescent="0.25">
      <c r="A1055" s="49"/>
      <c r="C1055" s="4"/>
    </row>
    <row r="1056" spans="1:3" ht="13.2" x14ac:dyDescent="0.25">
      <c r="A1056" s="49"/>
      <c r="C1056" s="4"/>
    </row>
    <row r="1057" spans="1:3" ht="13.2" x14ac:dyDescent="0.25">
      <c r="A1057" s="49"/>
      <c r="C1057" s="4"/>
    </row>
    <row r="1058" spans="1:3" ht="13.2" x14ac:dyDescent="0.25">
      <c r="A1058" s="49"/>
      <c r="C1058" s="4"/>
    </row>
    <row r="1059" spans="1:3" ht="13.2" x14ac:dyDescent="0.25">
      <c r="A1059" s="49"/>
      <c r="C1059" s="4"/>
    </row>
    <row r="1060" spans="1:3" ht="13.2" x14ac:dyDescent="0.25">
      <c r="A1060" s="49"/>
      <c r="C1060" s="4"/>
    </row>
    <row r="1061" spans="1:3" ht="13.2" x14ac:dyDescent="0.25">
      <c r="A1061" s="49"/>
      <c r="C1061" s="4"/>
    </row>
    <row r="1062" spans="1:3" ht="13.2" x14ac:dyDescent="0.25">
      <c r="A1062" s="49"/>
      <c r="C1062" s="4"/>
    </row>
    <row r="1063" spans="1:3" ht="13.2" x14ac:dyDescent="0.25">
      <c r="A1063" s="49"/>
      <c r="C1063" s="4"/>
    </row>
    <row r="1064" spans="1:3" ht="13.2" x14ac:dyDescent="0.25">
      <c r="A1064" s="49"/>
      <c r="C1064" s="4"/>
    </row>
    <row r="1065" spans="1:3" ht="13.2" x14ac:dyDescent="0.25">
      <c r="A1065" s="49"/>
      <c r="C1065" s="4"/>
    </row>
    <row r="1066" spans="1:3" ht="13.2" x14ac:dyDescent="0.25">
      <c r="A1066" s="49"/>
      <c r="C1066" s="4"/>
    </row>
    <row r="1067" spans="1:3" ht="13.2" x14ac:dyDescent="0.25">
      <c r="A1067" s="49"/>
      <c r="C1067" s="4"/>
    </row>
    <row r="1068" spans="1:3" ht="13.2" x14ac:dyDescent="0.25">
      <c r="A1068" s="49"/>
      <c r="C1068" s="4"/>
    </row>
    <row r="1069" spans="1:3" ht="13.2" x14ac:dyDescent="0.25">
      <c r="A1069" s="49"/>
      <c r="C1069" s="4"/>
    </row>
    <row r="1070" spans="1:3" ht="13.2" x14ac:dyDescent="0.25">
      <c r="A1070" s="49"/>
      <c r="C1070" s="4"/>
    </row>
    <row r="1071" spans="1:3" ht="13.2" x14ac:dyDescent="0.25">
      <c r="A1071" s="49"/>
      <c r="C1071" s="4"/>
    </row>
    <row r="1072" spans="1:3" ht="13.2" x14ac:dyDescent="0.25">
      <c r="A1072" s="49"/>
      <c r="C1072" s="4"/>
    </row>
    <row r="1073" spans="1:3" ht="13.2" x14ac:dyDescent="0.25">
      <c r="A1073" s="49"/>
      <c r="C1073" s="4"/>
    </row>
    <row r="1074" spans="1:3" ht="13.2" x14ac:dyDescent="0.25">
      <c r="A1074" s="49"/>
      <c r="C1074" s="4"/>
    </row>
    <row r="1075" spans="1:3" ht="13.2" x14ac:dyDescent="0.25">
      <c r="A1075" s="49"/>
      <c r="C1075" s="4"/>
    </row>
    <row r="1076" spans="1:3" ht="13.2" x14ac:dyDescent="0.25">
      <c r="A1076" s="49"/>
      <c r="C1076" s="4"/>
    </row>
    <row r="1077" spans="1:3" ht="13.2" x14ac:dyDescent="0.25">
      <c r="A1077" s="49"/>
      <c r="C1077" s="4"/>
    </row>
    <row r="1078" spans="1:3" ht="13.2" x14ac:dyDescent="0.25">
      <c r="A1078" s="49"/>
      <c r="C1078" s="4"/>
    </row>
    <row r="1079" spans="1:3" ht="13.2" x14ac:dyDescent="0.25">
      <c r="A1079" s="49"/>
      <c r="C1079" s="4"/>
    </row>
    <row r="1080" spans="1:3" ht="13.2" x14ac:dyDescent="0.25">
      <c r="A1080" s="49"/>
      <c r="C1080" s="4"/>
    </row>
    <row r="1081" spans="1:3" ht="13.2" x14ac:dyDescent="0.25">
      <c r="A1081" s="49"/>
      <c r="C1081" s="4"/>
    </row>
    <row r="1082" spans="1:3" ht="13.2" x14ac:dyDescent="0.25">
      <c r="A1082" s="49"/>
      <c r="C1082" s="4"/>
    </row>
    <row r="1083" spans="1:3" ht="13.2" x14ac:dyDescent="0.25">
      <c r="A1083" s="49"/>
      <c r="C1083" s="4"/>
    </row>
    <row r="1084" spans="1:3" ht="13.2" x14ac:dyDescent="0.25">
      <c r="A1084" s="49"/>
      <c r="C1084" s="4"/>
    </row>
  </sheetData>
  <dataValidations count="5">
    <dataValidation type="list" allowBlank="1" sqref="T2:T174" xr:uid="{00000000-0002-0000-0000-000000000000}">
      <formula1>"Número	,Porcentaje,Monto ($),Relación"</formula1>
    </dataValidation>
    <dataValidation type="list" allowBlank="1" sqref="X2:X174" xr:uid="{00000000-0002-0000-0000-000001000000}">
      <formula1>"Activo,Inactivo,Modificado,Nuevo"</formula1>
    </dataValidation>
    <dataValidation type="custom" allowBlank="1" showDropDown="1" sqref="V2:W174 Z2:Z174 AF2:AF174 BP2:BP174" xr:uid="{00000000-0002-0000-0000-000002000000}">
      <formula1>AND(ISNUMBER(V2),(NOT(OR(NOT(ISERROR(DATEVALUE(V2))), AND(ISNUMBER(V2), LEFT(CELL("format", V2))="D")))))</formula1>
    </dataValidation>
    <dataValidation allowBlank="1" showDropDown="1" sqref="BD2:BD174" xr:uid="{00000000-0002-0000-0000-000003000000}"/>
    <dataValidation type="list" allowBlank="1" sqref="S2:S174" xr:uid="{00000000-0002-0000-0000-000004000000}">
      <formula1>"Mensual	,Bimensual,Trimestral,Semestral,Bimestral"</formula1>
    </dataValidation>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bernal</cp:lastModifiedBy>
  <dcterms:created xsi:type="dcterms:W3CDTF">2026-06-22T20:52:36Z</dcterms:created>
  <dcterms:modified xsi:type="dcterms:W3CDTF">2026-06-22T20:52:36Z</dcterms:modified>
</cp:coreProperties>
</file>